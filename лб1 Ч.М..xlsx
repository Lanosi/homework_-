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rtem\Downloads\"/>
    </mc:Choice>
  </mc:AlternateContent>
  <bookViews>
    <workbookView xWindow="0" yWindow="0" windowWidth="28800" windowHeight="12210" activeTab="2"/>
  </bookViews>
  <sheets>
    <sheet name="Гаусс" sheetId="1" r:id="rId1"/>
    <sheet name="Прогонка" sheetId="2" r:id="rId2"/>
    <sheet name="LU разложение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2" l="1"/>
  <c r="F3" i="2"/>
  <c r="P6" i="1" l="1"/>
  <c r="P7" i="1"/>
  <c r="P8" i="1"/>
  <c r="G8" i="1"/>
  <c r="H8" i="1"/>
  <c r="I8" i="1"/>
  <c r="F7" i="1"/>
  <c r="G7" i="1"/>
  <c r="D8" i="1"/>
  <c r="C8" i="1"/>
  <c r="B8" i="1"/>
  <c r="A8" i="1"/>
  <c r="D7" i="1"/>
  <c r="C7" i="1"/>
  <c r="B7" i="1"/>
  <c r="A7" i="1"/>
  <c r="F8" i="1" s="1"/>
  <c r="I7" i="1"/>
  <c r="H7" i="1"/>
  <c r="I6" i="1"/>
  <c r="H6" i="1"/>
  <c r="G6" i="1"/>
  <c r="F6" i="1"/>
  <c r="P3" i="1"/>
  <c r="D6" i="1"/>
  <c r="C6" i="1"/>
  <c r="B6" i="1"/>
  <c r="A6" i="1"/>
  <c r="S4" i="1"/>
  <c r="R4" i="1"/>
  <c r="Q4" i="1"/>
  <c r="P4" i="1"/>
  <c r="S3" i="1"/>
  <c r="R3" i="1"/>
  <c r="Q3" i="1"/>
  <c r="S2" i="1"/>
  <c r="R2" i="1"/>
  <c r="Q2" i="1"/>
  <c r="P2" i="1"/>
  <c r="N3" i="1"/>
  <c r="M3" i="1"/>
  <c r="L3" i="1"/>
  <c r="K3" i="1"/>
  <c r="N4" i="1"/>
  <c r="M4" i="1"/>
  <c r="L4" i="1"/>
  <c r="K4" i="1"/>
  <c r="N2" i="1"/>
  <c r="M2" i="1"/>
  <c r="L2" i="1"/>
  <c r="K2" i="1"/>
  <c r="I4" i="1"/>
  <c r="H4" i="1"/>
  <c r="G4" i="1"/>
  <c r="F4" i="1"/>
  <c r="I3" i="1"/>
  <c r="H3" i="1"/>
  <c r="G3" i="1"/>
  <c r="F3" i="1"/>
  <c r="I2" i="1"/>
  <c r="H2" i="1"/>
  <c r="G2" i="1"/>
  <c r="F2" i="1"/>
  <c r="A9" i="3"/>
  <c r="K4" i="3" l="1"/>
  <c r="J4" i="3"/>
  <c r="H4" i="3"/>
  <c r="F4" i="3"/>
  <c r="G4" i="3" s="1"/>
  <c r="L4" i="3" s="1"/>
  <c r="L3" i="3"/>
  <c r="K3" i="3"/>
  <c r="J3" i="3"/>
  <c r="H3" i="3"/>
  <c r="G3" i="3"/>
  <c r="F3" i="3"/>
  <c r="O3" i="3" s="1"/>
  <c r="O2" i="3"/>
  <c r="L2" i="3"/>
  <c r="K2" i="3"/>
  <c r="J2" i="3"/>
  <c r="H2" i="3"/>
  <c r="G2" i="3"/>
  <c r="F2" i="3"/>
  <c r="O4" i="3" l="1"/>
  <c r="R2" i="3" s="1"/>
  <c r="R3" i="3" s="1"/>
  <c r="R4" i="3" l="1"/>
  <c r="G3" i="2"/>
  <c r="F5" i="2"/>
  <c r="G2" i="2"/>
  <c r="F2" i="2"/>
  <c r="A8" i="3" l="1"/>
  <c r="A7" i="3"/>
  <c r="G4" i="2"/>
  <c r="G5" i="2" l="1"/>
  <c r="I5" i="2" l="1"/>
  <c r="G12" i="2" l="1"/>
  <c r="I4" i="2"/>
  <c r="G11" i="2" l="1"/>
  <c r="I3" i="2"/>
  <c r="I2" i="2" l="1"/>
  <c r="G9" i="2" s="1"/>
  <c r="G10" i="2"/>
</calcChain>
</file>

<file path=xl/sharedStrings.xml><?xml version="1.0" encoding="utf-8"?>
<sst xmlns="http://schemas.openxmlformats.org/spreadsheetml/2006/main" count="27" uniqueCount="25">
  <si>
    <t>A</t>
  </si>
  <si>
    <t>b</t>
  </si>
  <si>
    <t>x3</t>
  </si>
  <si>
    <t>x2</t>
  </si>
  <si>
    <t>x1</t>
  </si>
  <si>
    <t>i</t>
  </si>
  <si>
    <t>альфа</t>
  </si>
  <si>
    <t>бета</t>
  </si>
  <si>
    <t>y1</t>
  </si>
  <si>
    <t>y2</t>
  </si>
  <si>
    <t>y3</t>
  </si>
  <si>
    <t>проверка</t>
  </si>
  <si>
    <t>x1 =</t>
  </si>
  <si>
    <t>x2 =</t>
  </si>
  <si>
    <t>x3 =</t>
  </si>
  <si>
    <t>a(i)</t>
  </si>
  <si>
    <t>b(i)</t>
  </si>
  <si>
    <t>c(i)</t>
  </si>
  <si>
    <t>d(i)</t>
  </si>
  <si>
    <t>обратный ход идём снизу вверх</t>
  </si>
  <si>
    <t>ответ</t>
  </si>
  <si>
    <t>x(1) =</t>
  </si>
  <si>
    <t>x(2) =</t>
  </si>
  <si>
    <t>x(3) =</t>
  </si>
  <si>
    <t>x(4)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</si>
</sst>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charset val="204"/>
      <scheme val="minor"/>
    </font>
    <font>
      <sz val="10"/>
      <color theme="1"/>
      <name val="Arial Unicode MS"/>
    </font>
    <font>
      <sz val="9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/>
    <xf numFmtId="0" fontId="0" fillId="0" borderId="0" xfId="0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/>
    <xf numFmtId="0" fontId="0" fillId="0" borderId="1" xfId="0" applyFill="1" applyBorder="1" applyAlignment="1">
      <alignment vertical="center" wrapText="1"/>
    </xf>
    <xf numFmtId="0" fontId="0" fillId="2" borderId="1" xfId="0" applyFill="1" applyBorder="1"/>
    <xf numFmtId="0" fontId="0" fillId="0" borderId="0" xfId="0" applyBorder="1" applyAlignment="1">
      <alignment horizontal="right"/>
    </xf>
    <xf numFmtId="0" fontId="0" fillId="0" borderId="0" xfId="0" applyBorder="1" applyAlignment="1">
      <alignment horizontal="right" vertic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right"/>
    </xf>
    <xf numFmtId="0" fontId="0" fillId="0" borderId="1" xfId="0" applyFill="1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556846</xdr:colOff>
      <xdr:row>4</xdr:row>
      <xdr:rowOff>117231</xdr:rowOff>
    </xdr:from>
    <xdr:to>
      <xdr:col>12</xdr:col>
      <xdr:colOff>439615</xdr:colOff>
      <xdr:row>8</xdr:row>
      <xdr:rowOff>67617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58558" y="879231"/>
          <a:ext cx="1502019" cy="7123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506453</xdr:colOff>
      <xdr:row>0</xdr:row>
      <xdr:rowOff>162622</xdr:rowOff>
    </xdr:from>
    <xdr:to>
      <xdr:col>13</xdr:col>
      <xdr:colOff>2</xdr:colOff>
      <xdr:row>4</xdr:row>
      <xdr:rowOff>255821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30538" y="162622"/>
          <a:ext cx="1928232" cy="85519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3</xdr:col>
      <xdr:colOff>41149</xdr:colOff>
      <xdr:row>24</xdr:row>
      <xdr:rowOff>123922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191000"/>
          <a:ext cx="1867161" cy="695422"/>
        </a:xfrm>
        <a:prstGeom prst="rect">
          <a:avLst/>
        </a:prstGeom>
      </xdr:spPr>
    </xdr:pic>
    <xdr:clientData/>
  </xdr:twoCellAnchor>
  <xdr:twoCellAnchor editAs="oneCell">
    <xdr:from>
      <xdr:col>3</xdr:col>
      <xdr:colOff>46464</xdr:colOff>
      <xdr:row>20</xdr:row>
      <xdr:rowOff>176561</xdr:rowOff>
    </xdr:from>
    <xdr:to>
      <xdr:col>5</xdr:col>
      <xdr:colOff>610546</xdr:colOff>
      <xdr:row>25</xdr:row>
      <xdr:rowOff>5220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72476" y="4177061"/>
          <a:ext cx="1781424" cy="781159"/>
        </a:xfrm>
        <a:prstGeom prst="rect">
          <a:avLst/>
        </a:prstGeom>
      </xdr:spPr>
    </xdr:pic>
    <xdr:clientData/>
  </xdr:twoCellAnchor>
  <xdr:twoCellAnchor editAs="oneCell">
    <xdr:from>
      <xdr:col>0</xdr:col>
      <xdr:colOff>88281</xdr:colOff>
      <xdr:row>28</xdr:row>
      <xdr:rowOff>167268</xdr:rowOff>
    </xdr:from>
    <xdr:to>
      <xdr:col>3</xdr:col>
      <xdr:colOff>367588</xdr:colOff>
      <xdr:row>30</xdr:row>
      <xdr:rowOff>157795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281" y="5691768"/>
          <a:ext cx="2105319" cy="371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5"/>
  <sheetViews>
    <sheetView zoomScale="130" zoomScaleNormal="130" workbookViewId="0">
      <selection activeCell="H26" sqref="H26"/>
    </sheetView>
  </sheetViews>
  <sheetFormatPr defaultRowHeight="15"/>
  <cols>
    <col min="1" max="1" width="7.5703125" customWidth="1"/>
    <col min="2" max="2" width="8.7109375" customWidth="1"/>
    <col min="3" max="3" width="6.7109375" customWidth="1"/>
    <col min="5" max="5" width="8.85546875" customWidth="1"/>
    <col min="6" max="7" width="7.28515625" customWidth="1"/>
    <col min="8" max="8" width="8.85546875" customWidth="1"/>
    <col min="11" max="11" width="8.140625" customWidth="1"/>
    <col min="12" max="12" width="7" customWidth="1"/>
    <col min="13" max="13" width="6.7109375" customWidth="1"/>
  </cols>
  <sheetData>
    <row r="1" spans="1:22">
      <c r="A1" s="15" t="s">
        <v>0</v>
      </c>
      <c r="B1" s="16"/>
      <c r="C1" s="17"/>
      <c r="D1" s="4" t="s">
        <v>1</v>
      </c>
    </row>
    <row r="2" spans="1:22">
      <c r="A2" s="3">
        <v>5</v>
      </c>
      <c r="B2" s="3">
        <v>-1</v>
      </c>
      <c r="C2" s="3">
        <v>3</v>
      </c>
      <c r="D2" s="2">
        <v>0</v>
      </c>
      <c r="F2" s="3">
        <f>A3</f>
        <v>1</v>
      </c>
      <c r="G2" s="3">
        <f>B3</f>
        <v>-3</v>
      </c>
      <c r="H2" s="3">
        <f>C3</f>
        <v>1</v>
      </c>
      <c r="I2" s="2">
        <f>D3</f>
        <v>-6</v>
      </c>
      <c r="J2" s="18"/>
      <c r="K2" s="3">
        <f>F2</f>
        <v>1</v>
      </c>
      <c r="L2" s="3">
        <f>G2</f>
        <v>-3</v>
      </c>
      <c r="M2" s="3">
        <f>H2</f>
        <v>1</v>
      </c>
      <c r="N2" s="2">
        <f>I2</f>
        <v>-6</v>
      </c>
      <c r="P2" s="19">
        <f>K2</f>
        <v>1</v>
      </c>
      <c r="Q2" s="19">
        <f>L2</f>
        <v>-3</v>
      </c>
      <c r="R2" s="19">
        <f>M2</f>
        <v>1</v>
      </c>
      <c r="S2" s="2">
        <f>N2</f>
        <v>-6</v>
      </c>
    </row>
    <row r="3" spans="1:22">
      <c r="A3" s="3">
        <v>1</v>
      </c>
      <c r="B3" s="3">
        <v>-3</v>
      </c>
      <c r="C3" s="3">
        <v>1</v>
      </c>
      <c r="D3" s="2">
        <v>-6</v>
      </c>
      <c r="F3" s="3">
        <f>A2</f>
        <v>5</v>
      </c>
      <c r="G3" s="3">
        <f>B2</f>
        <v>-1</v>
      </c>
      <c r="H3" s="3">
        <f>C2</f>
        <v>3</v>
      </c>
      <c r="I3" s="2">
        <f>D2</f>
        <v>0</v>
      </c>
      <c r="J3" s="18"/>
      <c r="K3" s="3">
        <f>F3-F2*5</f>
        <v>0</v>
      </c>
      <c r="L3" s="3">
        <f>G3-G2*5</f>
        <v>14</v>
      </c>
      <c r="M3" s="3">
        <f>H3-H2*5</f>
        <v>-2</v>
      </c>
      <c r="N3" s="2">
        <f>I3-I2*5</f>
        <v>30</v>
      </c>
      <c r="P3" s="5">
        <f>K3/2</f>
        <v>0</v>
      </c>
      <c r="Q3" s="5">
        <f>L3/2</f>
        <v>7</v>
      </c>
      <c r="R3" s="5">
        <f>M3/2</f>
        <v>-1</v>
      </c>
      <c r="S3" s="20">
        <f>N3/2</f>
        <v>15</v>
      </c>
    </row>
    <row r="4" spans="1:22">
      <c r="A4" s="3">
        <v>0</v>
      </c>
      <c r="B4" s="3">
        <v>1</v>
      </c>
      <c r="C4" s="3">
        <v>2</v>
      </c>
      <c r="D4" s="2">
        <v>0</v>
      </c>
      <c r="F4" s="3">
        <f>A4</f>
        <v>0</v>
      </c>
      <c r="G4" s="3">
        <f>B4</f>
        <v>1</v>
      </c>
      <c r="H4" s="3">
        <f>C4</f>
        <v>2</v>
      </c>
      <c r="I4" s="2">
        <f>D4</f>
        <v>0</v>
      </c>
      <c r="J4" s="18"/>
      <c r="K4" s="3">
        <f>F4</f>
        <v>0</v>
      </c>
      <c r="L4" s="3">
        <f>G4</f>
        <v>1</v>
      </c>
      <c r="M4" s="3">
        <f>H4</f>
        <v>2</v>
      </c>
      <c r="N4" s="2">
        <f>I4</f>
        <v>0</v>
      </c>
      <c r="P4" s="5">
        <f>K4</f>
        <v>0</v>
      </c>
      <c r="Q4" s="5">
        <f>L4</f>
        <v>1</v>
      </c>
      <c r="R4" s="5">
        <f>M4</f>
        <v>2</v>
      </c>
      <c r="S4" s="20">
        <f>N4</f>
        <v>0</v>
      </c>
    </row>
    <row r="6" spans="1:22">
      <c r="A6" s="5">
        <f>P2</f>
        <v>1</v>
      </c>
      <c r="B6" s="5">
        <f>Q2</f>
        <v>-3</v>
      </c>
      <c r="C6" s="5">
        <f>R2</f>
        <v>1</v>
      </c>
      <c r="D6" s="20">
        <f>S2</f>
        <v>-6</v>
      </c>
      <c r="F6" s="5">
        <f>A6</f>
        <v>1</v>
      </c>
      <c r="G6" s="5">
        <f>B6</f>
        <v>-3</v>
      </c>
      <c r="H6" s="5">
        <f>C6</f>
        <v>1</v>
      </c>
      <c r="I6" s="20">
        <f>D6</f>
        <v>-6</v>
      </c>
      <c r="O6" s="7" t="s">
        <v>12</v>
      </c>
      <c r="P6">
        <f>-6+3*P7-P8</f>
        <v>1</v>
      </c>
    </row>
    <row r="7" spans="1:22">
      <c r="A7" s="5">
        <f>P4</f>
        <v>0</v>
      </c>
      <c r="B7" s="5">
        <f>Q4</f>
        <v>1</v>
      </c>
      <c r="C7" s="5">
        <f>R4</f>
        <v>2</v>
      </c>
      <c r="D7" s="20">
        <f>S4</f>
        <v>0</v>
      </c>
      <c r="F7" s="5">
        <f>A7</f>
        <v>0</v>
      </c>
      <c r="G7" s="5">
        <f>B7</f>
        <v>1</v>
      </c>
      <c r="H7" s="5">
        <f>C7</f>
        <v>2</v>
      </c>
      <c r="I7" s="20">
        <f>D7</f>
        <v>0</v>
      </c>
      <c r="O7" s="7" t="s">
        <v>13</v>
      </c>
      <c r="P7">
        <f>-2*P8</f>
        <v>2</v>
      </c>
    </row>
    <row r="8" spans="1:22">
      <c r="A8" s="25">
        <f>P3</f>
        <v>0</v>
      </c>
      <c r="B8" s="5">
        <f>Q3</f>
        <v>7</v>
      </c>
      <c r="C8" s="5">
        <f>R3</f>
        <v>-1</v>
      </c>
      <c r="D8" s="20">
        <f>S3</f>
        <v>15</v>
      </c>
      <c r="E8" s="18"/>
      <c r="F8" s="26">
        <f>A8-A7*7</f>
        <v>0</v>
      </c>
      <c r="G8" s="26">
        <f t="shared" ref="G8:I8" si="0">B8-B7*7</f>
        <v>0</v>
      </c>
      <c r="H8" s="26">
        <f t="shared" si="0"/>
        <v>-15</v>
      </c>
      <c r="I8" s="20">
        <f t="shared" si="0"/>
        <v>15</v>
      </c>
      <c r="O8" s="7" t="s">
        <v>14</v>
      </c>
      <c r="P8">
        <f>H8/I8</f>
        <v>-1</v>
      </c>
    </row>
    <row r="9" spans="1:22">
      <c r="A9" s="21"/>
      <c r="B9" s="22"/>
      <c r="C9" s="21"/>
      <c r="D9" s="21"/>
      <c r="E9" s="21"/>
      <c r="F9" s="21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</row>
    <row r="10" spans="1:22">
      <c r="A10" s="21"/>
      <c r="B10" s="22"/>
      <c r="C10" s="21"/>
      <c r="D10" s="21"/>
      <c r="E10" s="21"/>
      <c r="F10" s="22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</row>
    <row r="11" spans="1:22">
      <c r="A11" s="23"/>
      <c r="B11" s="24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</row>
    <row r="12" spans="1:22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</row>
    <row r="13" spans="1:22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</row>
    <row r="14" spans="1:22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</row>
    <row r="15" spans="1:22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</row>
    <row r="16" spans="1:22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</row>
    <row r="17" spans="1:22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</row>
    <row r="18" spans="1:22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</row>
    <row r="19" spans="1:22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</row>
    <row r="20" spans="1:22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</row>
    <row r="21" spans="1:22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</row>
    <row r="22" spans="1:22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</row>
    <row r="23" spans="1:22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</row>
    <row r="24" spans="1:22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</row>
    <row r="25" spans="1:22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</row>
  </sheetData>
  <mergeCells count="1">
    <mergeCell ref="A1:C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2"/>
  <sheetViews>
    <sheetView zoomScale="205" zoomScaleNormal="205" workbookViewId="0">
      <selection activeCell="H24" sqref="H24"/>
    </sheetView>
  </sheetViews>
  <sheetFormatPr defaultRowHeight="15"/>
  <cols>
    <col min="1" max="5" width="9.140625" style="7"/>
    <col min="6" max="6" width="10.5703125" style="7" customWidth="1"/>
    <col min="7" max="7" width="9.140625" style="7"/>
    <col min="8" max="8" width="7.42578125" style="7" customWidth="1"/>
    <col min="9" max="9" width="16" style="7" customWidth="1"/>
    <col min="10" max="16384" width="9.140625" style="7"/>
  </cols>
  <sheetData>
    <row r="1" spans="1:28">
      <c r="A1" s="28" t="s">
        <v>5</v>
      </c>
      <c r="B1" s="29" t="s">
        <v>15</v>
      </c>
      <c r="C1" s="29" t="s">
        <v>16</v>
      </c>
      <c r="D1" s="29" t="s">
        <v>17</v>
      </c>
      <c r="E1" s="30" t="s">
        <v>18</v>
      </c>
      <c r="F1" s="14" t="s">
        <v>6</v>
      </c>
      <c r="G1" s="4" t="s">
        <v>7</v>
      </c>
    </row>
    <row r="2" spans="1:28">
      <c r="A2" s="31">
        <v>1</v>
      </c>
      <c r="B2" s="8">
        <v>0</v>
      </c>
      <c r="C2" s="8">
        <v>2</v>
      </c>
      <c r="D2" s="8">
        <v>2</v>
      </c>
      <c r="E2" s="32">
        <v>1</v>
      </c>
      <c r="F2" s="27">
        <f>D2/C2</f>
        <v>1</v>
      </c>
      <c r="G2" s="5">
        <f>E2/C2</f>
        <v>0.5</v>
      </c>
      <c r="I2" s="6">
        <f>G2 - F2*I3</f>
        <v>0.5</v>
      </c>
    </row>
    <row r="3" spans="1:28">
      <c r="A3" s="31">
        <v>2</v>
      </c>
      <c r="B3" s="8">
        <v>1</v>
      </c>
      <c r="C3" s="8">
        <v>-2</v>
      </c>
      <c r="D3" s="8">
        <v>0.5</v>
      </c>
      <c r="E3" s="32">
        <v>0</v>
      </c>
      <c r="F3" s="27">
        <f>D3/(C3 - B3*F2)</f>
        <v>-0.16666666666666666</v>
      </c>
      <c r="G3" s="5">
        <f>(E3 - B3*G2)/(C3 - B3*F2)</f>
        <v>0.16666666666666666</v>
      </c>
      <c r="I3" s="6">
        <f>G3 - F3*I4</f>
        <v>0</v>
      </c>
    </row>
    <row r="4" spans="1:28">
      <c r="A4" s="31">
        <v>3</v>
      </c>
      <c r="B4" s="8">
        <v>-1</v>
      </c>
      <c r="C4" s="8">
        <v>3</v>
      </c>
      <c r="D4" s="8">
        <v>1</v>
      </c>
      <c r="E4" s="32">
        <v>-2</v>
      </c>
      <c r="F4" s="27">
        <f>D4/(C4 - B4*F3)</f>
        <v>0.3529411764705882</v>
      </c>
      <c r="G4" s="9">
        <f>(E4 - B4*G3)/(C4 - B4*F3)</f>
        <v>-0.64705882352941169</v>
      </c>
      <c r="I4" s="6">
        <f>G4 - F4*I5</f>
        <v>-0.99999999999999989</v>
      </c>
      <c r="R4" s="10"/>
      <c r="S4" s="10"/>
      <c r="T4" s="10"/>
      <c r="U4" s="10"/>
      <c r="V4" s="10"/>
      <c r="W4" s="10"/>
    </row>
    <row r="5" spans="1:28" ht="21" customHeight="1" thickBot="1">
      <c r="A5" s="33">
        <v>4</v>
      </c>
      <c r="B5" s="34">
        <v>0</v>
      </c>
      <c r="C5" s="34">
        <v>2</v>
      </c>
      <c r="D5" s="34">
        <v>0</v>
      </c>
      <c r="E5" s="35">
        <v>2</v>
      </c>
      <c r="F5" s="27">
        <f>D5/(C5 - B5*F4)</f>
        <v>0</v>
      </c>
      <c r="G5" s="5">
        <f>(E5 - B5*G4)/(C5 - B5*F4)</f>
        <v>1</v>
      </c>
      <c r="I5" s="6">
        <f>G5</f>
        <v>1</v>
      </c>
      <c r="R5" s="10"/>
      <c r="S5" s="10"/>
      <c r="T5" s="10"/>
      <c r="U5" s="10"/>
      <c r="V5" s="10"/>
      <c r="W5" s="10"/>
    </row>
    <row r="6" spans="1:28" ht="24">
      <c r="I6" s="36" t="s">
        <v>19</v>
      </c>
      <c r="J6" s="11"/>
      <c r="R6" s="12"/>
      <c r="S6" s="12"/>
      <c r="T6" s="12"/>
      <c r="U6" s="12"/>
      <c r="V6" s="12"/>
      <c r="W6" s="10"/>
      <c r="Y6" s="11"/>
      <c r="Z6" s="11"/>
      <c r="AA6" s="11"/>
      <c r="AB6" s="11"/>
    </row>
    <row r="7" spans="1:28">
      <c r="G7" s="11"/>
      <c r="R7" s="12"/>
      <c r="S7" s="12"/>
      <c r="T7" s="12"/>
      <c r="U7" s="12"/>
      <c r="V7" s="12"/>
      <c r="W7" s="10"/>
      <c r="Y7" s="11"/>
      <c r="Z7" s="11"/>
      <c r="AA7" s="11"/>
      <c r="AB7" s="11"/>
    </row>
    <row r="8" spans="1:28">
      <c r="F8" s="7" t="s">
        <v>20</v>
      </c>
      <c r="R8" s="12"/>
      <c r="S8" s="12"/>
      <c r="T8" s="12"/>
      <c r="U8" s="12"/>
      <c r="V8" s="12"/>
      <c r="W8" s="10"/>
      <c r="Y8" s="11"/>
      <c r="Z8" s="11"/>
      <c r="AA8" s="11"/>
      <c r="AB8" s="11"/>
    </row>
    <row r="9" spans="1:28">
      <c r="F9" s="7" t="s">
        <v>21</v>
      </c>
      <c r="G9" s="7">
        <f>I2</f>
        <v>0.5</v>
      </c>
      <c r="R9" s="12"/>
      <c r="S9" s="12"/>
      <c r="T9" s="12"/>
      <c r="U9" s="12"/>
      <c r="V9" s="12"/>
      <c r="W9" s="10"/>
      <c r="Y9" s="11"/>
      <c r="Z9" s="11"/>
      <c r="AA9" s="11"/>
      <c r="AB9" s="11"/>
    </row>
    <row r="10" spans="1:28">
      <c r="F10" s="7" t="s">
        <v>22</v>
      </c>
      <c r="G10" s="7">
        <f>I3</f>
        <v>0</v>
      </c>
      <c r="R10" s="10"/>
      <c r="S10" s="10"/>
      <c r="T10" s="10"/>
      <c r="U10" s="10"/>
      <c r="V10" s="10"/>
      <c r="W10" s="10"/>
    </row>
    <row r="11" spans="1:28">
      <c r="F11" s="7" t="s">
        <v>23</v>
      </c>
      <c r="G11" s="7">
        <f>I4</f>
        <v>-0.99999999999999989</v>
      </c>
      <c r="R11" s="10"/>
      <c r="S11" s="10"/>
      <c r="T11" s="10"/>
      <c r="U11" s="10"/>
      <c r="V11" s="10"/>
      <c r="W11" s="10"/>
    </row>
    <row r="12" spans="1:28">
      <c r="F12" s="7" t="s">
        <v>24</v>
      </c>
      <c r="G12" s="7">
        <f>I5</f>
        <v>1</v>
      </c>
      <c r="R12" s="10"/>
      <c r="S12" s="10"/>
      <c r="T12" s="10"/>
      <c r="U12" s="10"/>
      <c r="V12" s="10"/>
      <c r="W12" s="10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"/>
  <sheetViews>
    <sheetView tabSelected="1" zoomScale="130" zoomScaleNormal="130" workbookViewId="0">
      <selection activeCell="G24" sqref="G24"/>
    </sheetView>
  </sheetViews>
  <sheetFormatPr defaultRowHeight="15"/>
  <cols>
    <col min="1" max="1" width="11.7109375" customWidth="1"/>
  </cols>
  <sheetData>
    <row r="1" spans="1:18">
      <c r="A1" s="15" t="s">
        <v>0</v>
      </c>
      <c r="B1" s="16"/>
      <c r="C1" s="17"/>
      <c r="D1" s="4" t="s">
        <v>1</v>
      </c>
    </row>
    <row r="2" spans="1:18">
      <c r="A2" s="3">
        <v>5</v>
      </c>
      <c r="B2" s="3">
        <v>-1</v>
      </c>
      <c r="C2" s="3">
        <v>3</v>
      </c>
      <c r="D2" s="2">
        <v>0</v>
      </c>
      <c r="F2" s="3">
        <f>1</f>
        <v>1</v>
      </c>
      <c r="G2" s="3">
        <f>0</f>
        <v>0</v>
      </c>
      <c r="H2" s="3">
        <f>0</f>
        <v>0</v>
      </c>
      <c r="J2" s="3">
        <f>A2</f>
        <v>5</v>
      </c>
      <c r="K2" s="3">
        <f>B2</f>
        <v>-1</v>
      </c>
      <c r="L2" s="3">
        <f>C2</f>
        <v>3</v>
      </c>
      <c r="N2" s="3" t="s">
        <v>8</v>
      </c>
      <c r="O2" s="3">
        <f>D2</f>
        <v>0</v>
      </c>
      <c r="Q2" s="3" t="s">
        <v>2</v>
      </c>
      <c r="R2" s="3">
        <f>O4/L4</f>
        <v>-1</v>
      </c>
    </row>
    <row r="3" spans="1:18">
      <c r="A3" s="3">
        <v>1</v>
      </c>
      <c r="B3" s="3">
        <v>-3</v>
      </c>
      <c r="C3" s="3">
        <v>1</v>
      </c>
      <c r="D3" s="2">
        <v>-6</v>
      </c>
      <c r="F3" s="3">
        <f>A3/A2</f>
        <v>0.2</v>
      </c>
      <c r="G3" s="3">
        <f>1</f>
        <v>1</v>
      </c>
      <c r="H3" s="3">
        <f>0</f>
        <v>0</v>
      </c>
      <c r="J3" s="3">
        <f>0</f>
        <v>0</v>
      </c>
      <c r="K3" s="3">
        <f>B3-F3*B2</f>
        <v>-2.8</v>
      </c>
      <c r="L3" s="3">
        <f>C3-F3*C2</f>
        <v>0.39999999999999991</v>
      </c>
      <c r="N3" s="3" t="s">
        <v>9</v>
      </c>
      <c r="O3" s="3">
        <f>D3-F3*O2</f>
        <v>-6</v>
      </c>
      <c r="Q3" s="3" t="s">
        <v>3</v>
      </c>
      <c r="R3" s="3">
        <f>(O3-L3*R2)/K3</f>
        <v>2</v>
      </c>
    </row>
    <row r="4" spans="1:18">
      <c r="A4" s="3">
        <v>0</v>
      </c>
      <c r="B4" s="3">
        <v>1</v>
      </c>
      <c r="C4" s="3">
        <v>2</v>
      </c>
      <c r="D4" s="2">
        <v>0</v>
      </c>
      <c r="F4" s="3">
        <f>A4/A2</f>
        <v>0</v>
      </c>
      <c r="G4" s="3">
        <f>(B4-F4*B2)/(B3-F3*B2)</f>
        <v>-0.35714285714285715</v>
      </c>
      <c r="H4" s="3">
        <f>1</f>
        <v>1</v>
      </c>
      <c r="J4" s="3">
        <f>0</f>
        <v>0</v>
      </c>
      <c r="K4" s="3">
        <f>0</f>
        <v>0</v>
      </c>
      <c r="L4" s="3">
        <f>C4-G4*(C3-F3*C2)</f>
        <v>2.1428571428571428</v>
      </c>
      <c r="N4" s="3" t="s">
        <v>10</v>
      </c>
      <c r="O4" s="5">
        <f>D4-F4*O2-G4*O3</f>
        <v>-2.1428571428571428</v>
      </c>
      <c r="Q4" s="3" t="s">
        <v>4</v>
      </c>
      <c r="R4" s="3">
        <f>(O2-K2*R3-L2*R2)/J2</f>
        <v>1</v>
      </c>
    </row>
    <row r="6" spans="1:18">
      <c r="A6" s="13" t="s">
        <v>11</v>
      </c>
      <c r="B6" s="13"/>
      <c r="C6" s="13"/>
      <c r="D6" s="13"/>
    </row>
    <row r="7" spans="1:18">
      <c r="A7" s="1">
        <f>5*R4-R3+3*R2</f>
        <v>0</v>
      </c>
      <c r="B7" s="2">
        <v>0</v>
      </c>
      <c r="C7" s="13"/>
      <c r="D7" s="13"/>
    </row>
    <row r="8" spans="1:18">
      <c r="A8" s="1">
        <f>R4-3*R3+R2</f>
        <v>-6</v>
      </c>
      <c r="B8" s="2">
        <v>-6</v>
      </c>
      <c r="C8" s="13"/>
      <c r="D8" s="13"/>
    </row>
    <row r="9" spans="1:18">
      <c r="A9" s="1">
        <f>R3+2*R2</f>
        <v>0</v>
      </c>
      <c r="B9" s="2">
        <v>0</v>
      </c>
      <c r="C9" s="13"/>
      <c r="D9" s="13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Гаусс</vt:lpstr>
      <vt:lpstr>Прогонка</vt:lpstr>
      <vt:lpstr>LU разложение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artem.rozhnov.2005@mail.ru</dc:creator>
  <cp:lastModifiedBy>artem.rozhnov.2005@mail.ru</cp:lastModifiedBy>
  <dcterms:created xsi:type="dcterms:W3CDTF">2026-05-29T02:30:29Z</dcterms:created>
  <dcterms:modified xsi:type="dcterms:W3CDTF">2026-10-20T02:16:52Z</dcterms:modified>
</cp:coreProperties>
</file>