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rtem\Desktop\"/>
    </mc:Choice>
  </mc:AlternateContent>
  <bookViews>
    <workbookView xWindow="0" yWindow="0" windowWidth="28800" windowHeight="12210" activeTab="1"/>
  </bookViews>
  <sheets>
    <sheet name="Гаусс" sheetId="1" r:id="rId1"/>
    <sheet name="Прогонка" sheetId="2" r:id="rId2"/>
    <sheet name="LU разложение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" i="3" l="1"/>
  <c r="J4" i="3"/>
  <c r="H4" i="3"/>
  <c r="F4" i="3"/>
  <c r="G4" i="3" s="1"/>
  <c r="L4" i="3" s="1"/>
  <c r="L3" i="3"/>
  <c r="K3" i="3"/>
  <c r="J3" i="3"/>
  <c r="H3" i="3"/>
  <c r="G3" i="3"/>
  <c r="F3" i="3"/>
  <c r="O3" i="3" s="1"/>
  <c r="O2" i="3"/>
  <c r="L2" i="3"/>
  <c r="K2" i="3"/>
  <c r="J2" i="3"/>
  <c r="H2" i="3"/>
  <c r="G2" i="3"/>
  <c r="F2" i="3"/>
  <c r="O4" i="3" l="1"/>
  <c r="R2" i="3" s="1"/>
  <c r="R3" i="3" s="1"/>
  <c r="A9" i="3" l="1"/>
  <c r="R4" i="3"/>
  <c r="G3" i="2"/>
  <c r="F3" i="2"/>
  <c r="F4" i="2" s="1"/>
  <c r="F5" i="2" s="1"/>
  <c r="G2" i="2"/>
  <c r="F2" i="2"/>
  <c r="A8" i="3" l="1"/>
  <c r="A7" i="3"/>
  <c r="G4" i="2"/>
  <c r="F10" i="1"/>
  <c r="F9" i="1"/>
  <c r="F8" i="1"/>
  <c r="B10" i="1"/>
  <c r="B9" i="1"/>
  <c r="G5" i="2" l="1"/>
  <c r="H4" i="2" s="1"/>
  <c r="H3" i="2" s="1"/>
  <c r="H2" i="2" s="1"/>
  <c r="H1" i="2" s="1"/>
  <c r="B8" i="1"/>
  <c r="K2" i="1"/>
  <c r="L2" i="1"/>
  <c r="M2" i="1"/>
  <c r="N2" i="1"/>
  <c r="K3" i="1"/>
  <c r="L3" i="1"/>
  <c r="M3" i="1"/>
  <c r="N3" i="1"/>
  <c r="K4" i="1"/>
  <c r="L4" i="1"/>
  <c r="M4" i="1"/>
  <c r="N4" i="1"/>
  <c r="F2" i="1"/>
  <c r="G2" i="1"/>
  <c r="H2" i="1"/>
  <c r="I2" i="1"/>
  <c r="F3" i="1"/>
  <c r="G3" i="1"/>
  <c r="H3" i="1"/>
  <c r="I3" i="1"/>
  <c r="F4" i="1"/>
  <c r="G4" i="1"/>
  <c r="H4" i="1"/>
  <c r="I4" i="1"/>
</calcChain>
</file>

<file path=xl/sharedStrings.xml><?xml version="1.0" encoding="utf-8"?>
<sst xmlns="http://schemas.openxmlformats.org/spreadsheetml/2006/main" count="25" uniqueCount="20">
  <si>
    <t>A</t>
  </si>
  <si>
    <t>b</t>
  </si>
  <si>
    <t>x3</t>
  </si>
  <si>
    <t>x2</t>
  </si>
  <si>
    <t>x1</t>
  </si>
  <si>
    <t>1 уравнение</t>
  </si>
  <si>
    <t>2 уравнение</t>
  </si>
  <si>
    <t>3 уравнение</t>
  </si>
  <si>
    <t>i</t>
  </si>
  <si>
    <t>ai</t>
  </si>
  <si>
    <t xml:space="preserve">bi </t>
  </si>
  <si>
    <t>ci</t>
  </si>
  <si>
    <t>di</t>
  </si>
  <si>
    <t>альфа</t>
  </si>
  <si>
    <t>бета</t>
  </si>
  <si>
    <t>обратный ход</t>
  </si>
  <si>
    <t>y1</t>
  </si>
  <si>
    <t>y2</t>
  </si>
  <si>
    <t>y3</t>
  </si>
  <si>
    <t>проверка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</si>
</sst>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>
    <font>
      <sz val="11"/>
      <color theme="1"/>
      <name val="Calibri"/>
      <family val="2"/>
      <charset val="204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/>
    <xf numFmtId="0" fontId="0" fillId="0" borderId="0" xfId="0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"/>
  <sheetViews>
    <sheetView zoomScale="175" zoomScaleNormal="175" workbookViewId="0">
      <selection activeCell="D17" sqref="D17"/>
    </sheetView>
  </sheetViews>
  <sheetFormatPr defaultRowHeight="15"/>
  <cols>
    <col min="1" max="1" width="15.28515625" customWidth="1"/>
    <col min="2" max="2" width="9.85546875" customWidth="1"/>
    <col min="5" max="5" width="12.42578125" customWidth="1"/>
  </cols>
  <sheetData>
    <row r="1" spans="1:14">
      <c r="A1" s="14" t="s">
        <v>0</v>
      </c>
      <c r="B1" s="15"/>
      <c r="C1" s="16"/>
      <c r="D1" s="4" t="s">
        <v>1</v>
      </c>
    </row>
    <row r="2" spans="1:14">
      <c r="A2" s="3">
        <v>5</v>
      </c>
      <c r="B2" s="3">
        <v>-1</v>
      </c>
      <c r="C2" s="3">
        <v>3</v>
      </c>
      <c r="D2" s="2">
        <v>0</v>
      </c>
      <c r="F2" s="3">
        <f>A2</f>
        <v>5</v>
      </c>
      <c r="G2" s="3">
        <f>B2</f>
        <v>-1</v>
      </c>
      <c r="H2" s="3">
        <f>C2</f>
        <v>3</v>
      </c>
      <c r="I2" s="3">
        <f>D2</f>
        <v>0</v>
      </c>
      <c r="K2" s="3">
        <f t="shared" ref="K2:N3" si="0">F2</f>
        <v>5</v>
      </c>
      <c r="L2" s="3">
        <f t="shared" si="0"/>
        <v>-1</v>
      </c>
      <c r="M2" s="3">
        <f t="shared" si="0"/>
        <v>3</v>
      </c>
      <c r="N2" s="3">
        <f t="shared" si="0"/>
        <v>0</v>
      </c>
    </row>
    <row r="3" spans="1:14">
      <c r="A3" s="3">
        <v>1</v>
      </c>
      <c r="B3" s="3">
        <v>-3</v>
      </c>
      <c r="C3" s="3">
        <v>1</v>
      </c>
      <c r="D3" s="2">
        <v>-6</v>
      </c>
      <c r="F3" s="3">
        <f>A3-(A3/A2)*A2</f>
        <v>0</v>
      </c>
      <c r="G3" s="3">
        <f>B3-(A3/A2)*B2</f>
        <v>-2.8</v>
      </c>
      <c r="H3" s="3">
        <f>C3-(A3/A2)*C2</f>
        <v>0.39999999999999991</v>
      </c>
      <c r="I3" s="3">
        <f>D3-(A3/A2)*D2</f>
        <v>-6</v>
      </c>
      <c r="K3" s="3">
        <f t="shared" si="0"/>
        <v>0</v>
      </c>
      <c r="L3" s="3">
        <f t="shared" si="0"/>
        <v>-2.8</v>
      </c>
      <c r="M3" s="3">
        <f t="shared" si="0"/>
        <v>0.39999999999999991</v>
      </c>
      <c r="N3" s="3">
        <f t="shared" si="0"/>
        <v>-6</v>
      </c>
    </row>
    <row r="4" spans="1:14">
      <c r="A4" s="3">
        <v>0</v>
      </c>
      <c r="B4" s="3">
        <v>1</v>
      </c>
      <c r="C4" s="3">
        <v>2</v>
      </c>
      <c r="D4" s="2">
        <v>0</v>
      </c>
      <c r="F4" s="3">
        <f>A4</f>
        <v>0</v>
      </c>
      <c r="G4" s="3">
        <f>B4</f>
        <v>1</v>
      </c>
      <c r="H4" s="3">
        <f>C4</f>
        <v>2</v>
      </c>
      <c r="I4" s="3">
        <f>D4</f>
        <v>0</v>
      </c>
      <c r="K4" s="3">
        <f>F4-(G4/G3)*F3</f>
        <v>0</v>
      </c>
      <c r="L4" s="3">
        <f>G4-(G4/G3)*G3</f>
        <v>0</v>
      </c>
      <c r="M4" s="3">
        <f>H4-(G4/G3)*H3</f>
        <v>2.1428571428571428</v>
      </c>
      <c r="N4" s="3">
        <f>I4-(G4/G3)*I3</f>
        <v>-2.1428571428571428</v>
      </c>
    </row>
    <row r="8" spans="1:14">
      <c r="A8" s="4" t="s">
        <v>2</v>
      </c>
      <c r="B8" s="5">
        <f>N4/M4</f>
        <v>-1</v>
      </c>
      <c r="E8" s="5" t="s">
        <v>5</v>
      </c>
      <c r="F8" s="5">
        <f>5*B10-B9+3*B8</f>
        <v>0</v>
      </c>
    </row>
    <row r="9" spans="1:14">
      <c r="A9" s="4" t="s">
        <v>3</v>
      </c>
      <c r="B9" s="3">
        <f>(I3-H3*B8)/G3</f>
        <v>2</v>
      </c>
      <c r="E9" s="5" t="s">
        <v>6</v>
      </c>
      <c r="F9" s="5">
        <f>B10-3*B9+B8</f>
        <v>-6</v>
      </c>
    </row>
    <row r="10" spans="1:14">
      <c r="A10" s="4" t="s">
        <v>4</v>
      </c>
      <c r="B10" s="3">
        <f>(D2-B2*B9-C2*B8)/A2</f>
        <v>1</v>
      </c>
      <c r="E10" s="5" t="s">
        <v>7</v>
      </c>
      <c r="F10" s="3">
        <f>B9+2*B8</f>
        <v>0</v>
      </c>
    </row>
    <row r="11" spans="1:14">
      <c r="B11" s="1"/>
    </row>
  </sheetData>
  <mergeCells count="1">
    <mergeCell ref="A1: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2"/>
  <sheetViews>
    <sheetView tabSelected="1" zoomScale="250" zoomScaleNormal="250" workbookViewId="0">
      <selection activeCell="H12" sqref="H12"/>
    </sheetView>
  </sheetViews>
  <sheetFormatPr defaultRowHeight="15"/>
  <cols>
    <col min="1" max="5" width="9.140625" style="7"/>
    <col min="6" max="6" width="10.5703125" style="7" customWidth="1"/>
    <col min="7" max="7" width="9.140625" style="7"/>
    <col min="8" max="8" width="16.42578125" style="7" customWidth="1"/>
    <col min="9" max="16384" width="9.140625" style="7"/>
  </cols>
  <sheetData>
    <row r="1" spans="1:28">
      <c r="A1" s="4" t="s">
        <v>8</v>
      </c>
      <c r="B1" s="4" t="s">
        <v>9</v>
      </c>
      <c r="C1" s="4" t="s">
        <v>10</v>
      </c>
      <c r="D1" s="4" t="s">
        <v>11</v>
      </c>
      <c r="E1" s="4" t="s">
        <v>12</v>
      </c>
      <c r="F1" s="4" t="s">
        <v>13</v>
      </c>
      <c r="G1" s="4" t="s">
        <v>14</v>
      </c>
      <c r="H1" s="6">
        <f>G2 - F2*H2</f>
        <v>0.5</v>
      </c>
    </row>
    <row r="2" spans="1:28">
      <c r="A2" s="8">
        <v>1</v>
      </c>
      <c r="B2" s="8">
        <v>0</v>
      </c>
      <c r="C2" s="8">
        <v>2</v>
      </c>
      <c r="D2" s="8">
        <v>2</v>
      </c>
      <c r="E2" s="8">
        <v>1</v>
      </c>
      <c r="F2" s="5">
        <f>D2/C2</f>
        <v>1</v>
      </c>
      <c r="G2" s="5">
        <f>E2/C2</f>
        <v>0.5</v>
      </c>
      <c r="H2" s="6">
        <f>G3 - F3*H3</f>
        <v>0</v>
      </c>
    </row>
    <row r="3" spans="1:28">
      <c r="A3" s="8">
        <v>2</v>
      </c>
      <c r="B3" s="8">
        <v>1</v>
      </c>
      <c r="C3" s="8">
        <v>-2</v>
      </c>
      <c r="D3" s="8">
        <v>0.5</v>
      </c>
      <c r="E3" s="8">
        <v>0</v>
      </c>
      <c r="F3" s="5">
        <f>D3/(C3 - B3*F2)</f>
        <v>-0.16666666666666666</v>
      </c>
      <c r="G3" s="5">
        <f>(E3 - B3*G2)/(C3 - B3*F2)</f>
        <v>0.16666666666666666</v>
      </c>
      <c r="H3" s="6">
        <f>G4 - F4*H4</f>
        <v>-0.99999999999999989</v>
      </c>
    </row>
    <row r="4" spans="1:28">
      <c r="A4" s="8">
        <v>3</v>
      </c>
      <c r="B4" s="8">
        <v>-1</v>
      </c>
      <c r="C4" s="8">
        <v>3</v>
      </c>
      <c r="D4" s="8">
        <v>1</v>
      </c>
      <c r="E4" s="8">
        <v>-2</v>
      </c>
      <c r="F4" s="5">
        <f>D4/(C4 - B4*F3)</f>
        <v>0.3529411764705882</v>
      </c>
      <c r="G4" s="9">
        <f>(E4 - B4*G3)/(C4 - B4*F3)</f>
        <v>-0.64705882352941169</v>
      </c>
      <c r="H4" s="6">
        <f>G5</f>
        <v>1</v>
      </c>
      <c r="R4" s="10"/>
      <c r="S4" s="10"/>
      <c r="T4" s="10"/>
      <c r="U4" s="10"/>
      <c r="V4" s="10"/>
      <c r="W4" s="10"/>
    </row>
    <row r="5" spans="1:28">
      <c r="A5" s="8">
        <v>4</v>
      </c>
      <c r="B5" s="8">
        <v>0</v>
      </c>
      <c r="C5" s="8">
        <v>2</v>
      </c>
      <c r="D5" s="8">
        <v>0</v>
      </c>
      <c r="E5" s="8">
        <v>2</v>
      </c>
      <c r="F5" s="5">
        <f>D5/(C5 - B5*F4)</f>
        <v>0</v>
      </c>
      <c r="G5" s="5">
        <f>(E5 - B5*G4)/(C5 - B5*F4)</f>
        <v>1</v>
      </c>
      <c r="H5" s="11" t="s">
        <v>15</v>
      </c>
      <c r="R5" s="10"/>
      <c r="S5" s="10"/>
      <c r="T5" s="10"/>
      <c r="U5" s="10"/>
      <c r="V5" s="10"/>
      <c r="W5" s="10"/>
    </row>
    <row r="6" spans="1:28">
      <c r="I6" s="11"/>
      <c r="J6" s="11"/>
      <c r="R6" s="12"/>
      <c r="S6" s="12"/>
      <c r="T6" s="12"/>
      <c r="U6" s="12"/>
      <c r="V6" s="12"/>
      <c r="W6" s="10"/>
      <c r="Y6" s="11"/>
      <c r="Z6" s="11"/>
      <c r="AA6" s="11"/>
      <c r="AB6" s="11"/>
    </row>
    <row r="7" spans="1:28">
      <c r="G7" s="11"/>
      <c r="R7" s="12"/>
      <c r="S7" s="12"/>
      <c r="T7" s="12"/>
      <c r="U7" s="12"/>
      <c r="V7" s="12"/>
      <c r="W7" s="10"/>
      <c r="Y7" s="11"/>
      <c r="Z7" s="11"/>
      <c r="AA7" s="11"/>
      <c r="AB7" s="11"/>
    </row>
    <row r="8" spans="1:28">
      <c r="R8" s="12"/>
      <c r="S8" s="12"/>
      <c r="T8" s="12"/>
      <c r="U8" s="12"/>
      <c r="V8" s="12"/>
      <c r="W8" s="10"/>
      <c r="Y8" s="11"/>
      <c r="Z8" s="11"/>
      <c r="AA8" s="11"/>
      <c r="AB8" s="11"/>
    </row>
    <row r="9" spans="1:28">
      <c r="R9" s="12"/>
      <c r="S9" s="12"/>
      <c r="T9" s="12"/>
      <c r="U9" s="12"/>
      <c r="V9" s="12"/>
      <c r="W9" s="10"/>
      <c r="Y9" s="11"/>
      <c r="Z9" s="11"/>
      <c r="AA9" s="11"/>
      <c r="AB9" s="11"/>
    </row>
    <row r="10" spans="1:28">
      <c r="R10" s="10"/>
      <c r="S10" s="10"/>
      <c r="T10" s="10"/>
      <c r="U10" s="10"/>
      <c r="V10" s="10"/>
      <c r="W10" s="10"/>
    </row>
    <row r="11" spans="1:28">
      <c r="R11" s="10"/>
      <c r="S11" s="10"/>
      <c r="T11" s="10"/>
      <c r="U11" s="10"/>
      <c r="V11" s="10"/>
      <c r="W11" s="10"/>
    </row>
    <row r="12" spans="1:28">
      <c r="R12" s="10"/>
      <c r="S12" s="10"/>
      <c r="T12" s="10"/>
      <c r="U12" s="10"/>
      <c r="V12" s="10"/>
      <c r="W12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9"/>
  <sheetViews>
    <sheetView zoomScale="130" zoomScaleNormal="130" workbookViewId="0">
      <selection activeCell="D23" sqref="D23"/>
    </sheetView>
  </sheetViews>
  <sheetFormatPr defaultRowHeight="15"/>
  <cols>
    <col min="1" max="1" width="11.7109375" customWidth="1"/>
  </cols>
  <sheetData>
    <row r="1" spans="1:18">
      <c r="A1" s="14" t="s">
        <v>0</v>
      </c>
      <c r="B1" s="15"/>
      <c r="C1" s="16"/>
      <c r="D1" s="4" t="s">
        <v>1</v>
      </c>
    </row>
    <row r="2" spans="1:18">
      <c r="A2" s="3">
        <v>5</v>
      </c>
      <c r="B2" s="3">
        <v>-1</v>
      </c>
      <c r="C2" s="3">
        <v>3</v>
      </c>
      <c r="D2" s="2">
        <v>0</v>
      </c>
      <c r="F2" s="3">
        <f>1</f>
        <v>1</v>
      </c>
      <c r="G2" s="3">
        <f>0</f>
        <v>0</v>
      </c>
      <c r="H2" s="3">
        <f>0</f>
        <v>0</v>
      </c>
      <c r="J2" s="3">
        <f>A2</f>
        <v>5</v>
      </c>
      <c r="K2" s="3">
        <f>B2</f>
        <v>-1</v>
      </c>
      <c r="L2" s="3">
        <f>C2</f>
        <v>3</v>
      </c>
      <c r="N2" s="3" t="s">
        <v>16</v>
      </c>
      <c r="O2" s="3">
        <f>D2</f>
        <v>0</v>
      </c>
      <c r="Q2" s="3" t="s">
        <v>2</v>
      </c>
      <c r="R2" s="3">
        <f>O4/L4</f>
        <v>-1</v>
      </c>
    </row>
    <row r="3" spans="1:18">
      <c r="A3" s="3">
        <v>1</v>
      </c>
      <c r="B3" s="3">
        <v>-3</v>
      </c>
      <c r="C3" s="3">
        <v>1</v>
      </c>
      <c r="D3" s="2">
        <v>-6</v>
      </c>
      <c r="F3" s="3">
        <f>A3/A2</f>
        <v>0.2</v>
      </c>
      <c r="G3" s="3">
        <f>1</f>
        <v>1</v>
      </c>
      <c r="H3" s="3">
        <f>0</f>
        <v>0</v>
      </c>
      <c r="J3" s="3">
        <f>0</f>
        <v>0</v>
      </c>
      <c r="K3" s="3">
        <f>B3-F3*B2</f>
        <v>-2.8</v>
      </c>
      <c r="L3" s="3">
        <f>C3-F3*C2</f>
        <v>0.39999999999999991</v>
      </c>
      <c r="N3" s="3" t="s">
        <v>17</v>
      </c>
      <c r="O3" s="3">
        <f>D3-F3*O2</f>
        <v>-6</v>
      </c>
      <c r="Q3" s="3" t="s">
        <v>3</v>
      </c>
      <c r="R3" s="3">
        <f>(O3-L3*R2)/K3</f>
        <v>2</v>
      </c>
    </row>
    <row r="4" spans="1:18">
      <c r="A4" s="3">
        <v>0</v>
      </c>
      <c r="B4" s="3">
        <v>1</v>
      </c>
      <c r="C4" s="3">
        <v>2</v>
      </c>
      <c r="D4" s="2">
        <v>0</v>
      </c>
      <c r="F4" s="3">
        <f>A4/A2</f>
        <v>0</v>
      </c>
      <c r="G4" s="3">
        <f>(B4-F4*B2)/(B3-F3*B2)</f>
        <v>-0.35714285714285715</v>
      </c>
      <c r="H4" s="3">
        <f>1</f>
        <v>1</v>
      </c>
      <c r="J4" s="3">
        <f>0</f>
        <v>0</v>
      </c>
      <c r="K4" s="3">
        <f>0</f>
        <v>0</v>
      </c>
      <c r="L4" s="3">
        <f>C4-G4*(C3-F3*C2)</f>
        <v>2.1428571428571428</v>
      </c>
      <c r="N4" s="3" t="s">
        <v>18</v>
      </c>
      <c r="O4" s="5">
        <f>D4-F4*O2-G4*O3</f>
        <v>-2.1428571428571428</v>
      </c>
      <c r="Q4" s="3" t="s">
        <v>4</v>
      </c>
      <c r="R4" s="3">
        <f>(O2-K2*R3-L2*R2)/J2</f>
        <v>1</v>
      </c>
    </row>
    <row r="6" spans="1:18">
      <c r="A6" s="13" t="s">
        <v>19</v>
      </c>
      <c r="B6" s="13"/>
      <c r="C6" s="13"/>
      <c r="D6" s="13"/>
    </row>
    <row r="7" spans="1:18">
      <c r="A7" s="1">
        <f>5*R4-R3+3*R2</f>
        <v>0</v>
      </c>
      <c r="B7" s="2">
        <v>0</v>
      </c>
      <c r="C7" s="13"/>
      <c r="D7" s="13"/>
    </row>
    <row r="8" spans="1:18">
      <c r="A8" s="1">
        <f>R4-3*R3+R2</f>
        <v>-6</v>
      </c>
      <c r="B8" s="2">
        <v>-6</v>
      </c>
      <c r="C8" s="13"/>
      <c r="D8" s="13"/>
    </row>
    <row r="9" spans="1:18">
      <c r="A9" s="1">
        <f>R3+2*R2</f>
        <v>0</v>
      </c>
      <c r="B9" s="2">
        <v>0</v>
      </c>
      <c r="C9" s="13"/>
      <c r="D9" s="13"/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Гаусс</vt:lpstr>
      <vt:lpstr>Прогонка</vt:lpstr>
      <vt:lpstr>LU разложение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artem.rozhnov.2005@mail.ru</dc:creator>
  <cp:lastModifiedBy>artem.rozhnov.2005@mail.ru</cp:lastModifiedBy>
  <dcterms:created xsi:type="dcterms:W3CDTF">2026-05-29T02:30:29Z</dcterms:created>
  <dcterms:modified xsi:type="dcterms:W3CDTF">2026-06-08T01:51:08Z</dcterms:modified>
</cp:coreProperties>
</file>