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Документы\Рабочий стол\"/>
    </mc:Choice>
  </mc:AlternateContent>
  <xr:revisionPtr revIDLastSave="0" documentId="13_ncr:1_{A799CA90-D6F4-4739-99DB-1FDA2958FC4A}" xr6:coauthVersionLast="47" xr6:coauthVersionMax="47" xr10:uidLastSave="{00000000-0000-0000-0000-000000000000}"/>
  <bookViews>
    <workbookView xWindow="-120" yWindow="-120" windowWidth="38640" windowHeight="15840" activeTab="4" xr2:uid="{00000000-000D-0000-FFFF-FFFF00000000}"/>
  </bookViews>
  <sheets>
    <sheet name="МПД" sheetId="1" r:id="rId1"/>
    <sheet name="Хорд" sheetId="2" r:id="rId2"/>
    <sheet name="МПИ" sheetId="3" r:id="rId3"/>
    <sheet name="Ньютона" sheetId="4" r:id="rId4"/>
    <sheet name="Лист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C4" i="5" s="1"/>
  <c r="D4" i="5"/>
  <c r="D5" i="5"/>
  <c r="D6" i="5"/>
  <c r="G3" i="5"/>
  <c r="G2" i="5"/>
  <c r="C3" i="5"/>
  <c r="E3" i="5" s="1"/>
  <c r="F3" i="5" s="1"/>
  <c r="D3" i="5"/>
  <c r="B3" i="5"/>
  <c r="F2" i="5"/>
  <c r="E2" i="5"/>
  <c r="D2" i="5"/>
  <c r="C2" i="5"/>
  <c r="K3" i="4"/>
  <c r="K4" i="4" s="1"/>
  <c r="L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" i="3"/>
  <c r="K4" i="3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3" i="3"/>
  <c r="N3" i="2"/>
  <c r="N4" i="2" s="1"/>
  <c r="O2" i="2"/>
  <c r="G28" i="1"/>
  <c r="H25" i="1"/>
  <c r="H26" i="1"/>
  <c r="P3" i="1"/>
  <c r="P2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A4" i="4"/>
  <c r="A5" i="4" s="1"/>
  <c r="A6" i="4" s="1"/>
  <c r="A7" i="4" s="1"/>
  <c r="A8" i="4" s="1"/>
  <c r="B5" i="4"/>
  <c r="C5" i="4" s="1"/>
  <c r="B4" i="4"/>
  <c r="C4" i="4" s="1"/>
  <c r="I3" i="2"/>
  <c r="I2" i="2"/>
  <c r="G2" i="4"/>
  <c r="G3" i="4"/>
  <c r="F3" i="4"/>
  <c r="E3" i="4"/>
  <c r="D3" i="4"/>
  <c r="C3" i="4"/>
  <c r="B3" i="4"/>
  <c r="F2" i="4"/>
  <c r="E2" i="4"/>
  <c r="D2" i="4"/>
  <c r="C2" i="4"/>
  <c r="A3" i="4"/>
  <c r="A7" i="3"/>
  <c r="A8" i="3" s="1"/>
  <c r="A9" i="3" s="1"/>
  <c r="A10" i="3" s="1"/>
  <c r="A4" i="3"/>
  <c r="B4" i="3"/>
  <c r="C4" i="3" s="1"/>
  <c r="A5" i="3"/>
  <c r="A6" i="3" s="1"/>
  <c r="E2" i="3"/>
  <c r="E3" i="3"/>
  <c r="D3" i="3"/>
  <c r="C3" i="3"/>
  <c r="B3" i="3"/>
  <c r="D2" i="3"/>
  <c r="C2" i="3"/>
  <c r="A3" i="3"/>
  <c r="A10" i="2"/>
  <c r="A11" i="2" s="1"/>
  <c r="A4" i="2"/>
  <c r="A5" i="2" s="1"/>
  <c r="A6" i="2" s="1"/>
  <c r="A7" i="2" s="1"/>
  <c r="A8" i="2" s="1"/>
  <c r="A9" i="2" s="1"/>
  <c r="B4" i="2"/>
  <c r="D4" i="2" s="1"/>
  <c r="C4" i="2"/>
  <c r="E4" i="2" s="1"/>
  <c r="H3" i="2"/>
  <c r="F3" i="2"/>
  <c r="G3" i="2" s="1"/>
  <c r="E3" i="2"/>
  <c r="D3" i="2"/>
  <c r="C3" i="2"/>
  <c r="B3" i="2"/>
  <c r="F2" i="2"/>
  <c r="G2" i="2" s="1"/>
  <c r="E2" i="2"/>
  <c r="D2" i="2"/>
  <c r="A3" i="2"/>
  <c r="A9" i="1"/>
  <c r="A10" i="1" s="1"/>
  <c r="A11" i="1" s="1"/>
  <c r="A12" i="1" s="1"/>
  <c r="A13" i="1" s="1"/>
  <c r="A14" i="1" s="1"/>
  <c r="A15" i="1" s="1"/>
  <c r="A16" i="1" s="1"/>
  <c r="I9" i="1"/>
  <c r="I10" i="1"/>
  <c r="I11" i="1"/>
  <c r="I12" i="1"/>
  <c r="I13" i="1"/>
  <c r="I14" i="1"/>
  <c r="I15" i="1"/>
  <c r="I16" i="1"/>
  <c r="H9" i="1"/>
  <c r="H10" i="1"/>
  <c r="H11" i="1"/>
  <c r="H12" i="1"/>
  <c r="H13" i="1"/>
  <c r="H14" i="1"/>
  <c r="H15" i="1"/>
  <c r="H16" i="1"/>
  <c r="B9" i="1"/>
  <c r="D9" i="1" s="1"/>
  <c r="G9" i="1" s="1"/>
  <c r="C9" i="1"/>
  <c r="F9" i="1" s="1"/>
  <c r="I3" i="1"/>
  <c r="I4" i="1"/>
  <c r="I5" i="1"/>
  <c r="I6" i="1"/>
  <c r="I7" i="1"/>
  <c r="I8" i="1"/>
  <c r="I2" i="1"/>
  <c r="I1" i="1"/>
  <c r="H4" i="1"/>
  <c r="H5" i="1"/>
  <c r="H6" i="1"/>
  <c r="H7" i="1"/>
  <c r="H8" i="1"/>
  <c r="B4" i="1"/>
  <c r="D4" i="1" s="1"/>
  <c r="G4" i="1" s="1"/>
  <c r="C4" i="1"/>
  <c r="F4" i="1" s="1"/>
  <c r="H3" i="1"/>
  <c r="G3" i="1"/>
  <c r="F3" i="1"/>
  <c r="E3" i="1"/>
  <c r="D3" i="1"/>
  <c r="C3" i="1"/>
  <c r="B3" i="1"/>
  <c r="G2" i="1"/>
  <c r="H2" i="1"/>
  <c r="D2" i="1"/>
  <c r="F2" i="1"/>
  <c r="E2" i="1"/>
  <c r="A4" i="1"/>
  <c r="A5" i="1" s="1"/>
  <c r="A6" i="1" s="1"/>
  <c r="A7" i="1" s="1"/>
  <c r="A8" i="1" s="1"/>
  <c r="A3" i="1"/>
  <c r="E4" i="5" l="1"/>
  <c r="K5" i="4"/>
  <c r="L4" i="4"/>
  <c r="L3" i="4"/>
  <c r="N5" i="2"/>
  <c r="O4" i="2"/>
  <c r="O3" i="2"/>
  <c r="P16" i="1"/>
  <c r="O17" i="1"/>
  <c r="P14" i="1"/>
  <c r="P5" i="1"/>
  <c r="P6" i="1"/>
  <c r="P10" i="1"/>
  <c r="P13" i="1"/>
  <c r="P7" i="1"/>
  <c r="P11" i="1"/>
  <c r="P8" i="1"/>
  <c r="P9" i="1"/>
  <c r="P12" i="1"/>
  <c r="P15" i="1"/>
  <c r="P4" i="1"/>
  <c r="E5" i="4"/>
  <c r="F5" i="4" s="1"/>
  <c r="G5" i="4" s="1"/>
  <c r="D5" i="4"/>
  <c r="D4" i="4"/>
  <c r="E4" i="4" s="1"/>
  <c r="F4" i="4" s="1"/>
  <c r="G4" i="4" s="1"/>
  <c r="D4" i="3"/>
  <c r="E4" i="3" s="1"/>
  <c r="B5" i="3"/>
  <c r="C5" i="3" s="1"/>
  <c r="F4" i="2"/>
  <c r="E9" i="1"/>
  <c r="E4" i="1"/>
  <c r="F4" i="5" l="1"/>
  <c r="G4" i="5" s="1"/>
  <c r="B5" i="5"/>
  <c r="K6" i="4"/>
  <c r="L5" i="4"/>
  <c r="N6" i="2"/>
  <c r="O5" i="2"/>
  <c r="O18" i="1"/>
  <c r="P17" i="1"/>
  <c r="H27" i="1"/>
  <c r="B6" i="3"/>
  <c r="C6" i="3" s="1"/>
  <c r="D5" i="3"/>
  <c r="E5" i="3" s="1"/>
  <c r="B5" i="2"/>
  <c r="G4" i="2"/>
  <c r="C5" i="2"/>
  <c r="E5" i="2" s="1"/>
  <c r="B10" i="1"/>
  <c r="C10" i="1"/>
  <c r="F10" i="1" s="1"/>
  <c r="B5" i="1"/>
  <c r="C5" i="1"/>
  <c r="F5" i="1" s="1"/>
  <c r="C5" i="5" l="1"/>
  <c r="E5" i="5" s="1"/>
  <c r="L6" i="4"/>
  <c r="K7" i="4"/>
  <c r="N7" i="2"/>
  <c r="O6" i="2"/>
  <c r="O19" i="1"/>
  <c r="P18" i="1"/>
  <c r="G29" i="1"/>
  <c r="H28" i="1"/>
  <c r="D6" i="3"/>
  <c r="E6" i="3" s="1"/>
  <c r="H4" i="2"/>
  <c r="I4" i="2" s="1"/>
  <c r="D5" i="2"/>
  <c r="F5" i="2" s="1"/>
  <c r="E10" i="1"/>
  <c r="D10" i="1"/>
  <c r="G10" i="1" s="1"/>
  <c r="D5" i="1"/>
  <c r="G5" i="1" s="1"/>
  <c r="E5" i="1"/>
  <c r="F5" i="5" l="1"/>
  <c r="G5" i="5" s="1"/>
  <c r="B6" i="5"/>
  <c r="K8" i="4"/>
  <c r="L7" i="4"/>
  <c r="O7" i="2"/>
  <c r="N8" i="2"/>
  <c r="O20" i="1"/>
  <c r="P19" i="1"/>
  <c r="G30" i="1"/>
  <c r="H29" i="1"/>
  <c r="G5" i="2"/>
  <c r="B6" i="2"/>
  <c r="C6" i="2"/>
  <c r="E6" i="2" s="1"/>
  <c r="B11" i="1"/>
  <c r="C11" i="1"/>
  <c r="F11" i="1" s="1"/>
  <c r="B6" i="1"/>
  <c r="C6" i="1"/>
  <c r="F6" i="1" s="1"/>
  <c r="C6" i="5" l="1"/>
  <c r="E6" i="5" s="1"/>
  <c r="K9" i="4"/>
  <c r="L8" i="4"/>
  <c r="N9" i="2"/>
  <c r="O8" i="2"/>
  <c r="O21" i="1"/>
  <c r="P20" i="1"/>
  <c r="G31" i="1"/>
  <c r="H30" i="1"/>
  <c r="D6" i="2"/>
  <c r="F6" i="2" s="1"/>
  <c r="H5" i="2"/>
  <c r="I5" i="2" s="1"/>
  <c r="D11" i="1"/>
  <c r="G11" i="1" s="1"/>
  <c r="E11" i="1"/>
  <c r="D6" i="1"/>
  <c r="G6" i="1" s="1"/>
  <c r="E6" i="1"/>
  <c r="F6" i="5" l="1"/>
  <c r="G6" i="5" s="1"/>
  <c r="K10" i="4"/>
  <c r="L9" i="4"/>
  <c r="O9" i="2"/>
  <c r="N10" i="2"/>
  <c r="O22" i="1"/>
  <c r="P21" i="1"/>
  <c r="G32" i="1"/>
  <c r="H31" i="1"/>
  <c r="C7" i="2"/>
  <c r="E7" i="2" s="1"/>
  <c r="B7" i="2"/>
  <c r="G6" i="2"/>
  <c r="B12" i="1"/>
  <c r="C12" i="1"/>
  <c r="F12" i="1" s="1"/>
  <c r="B7" i="1"/>
  <c r="C7" i="1"/>
  <c r="F7" i="1" s="1"/>
  <c r="K11" i="4" l="1"/>
  <c r="L10" i="4"/>
  <c r="N11" i="2"/>
  <c r="O10" i="2"/>
  <c r="O23" i="1"/>
  <c r="P22" i="1"/>
  <c r="G33" i="1"/>
  <c r="H32" i="1"/>
  <c r="H6" i="2"/>
  <c r="I6" i="2" s="1"/>
  <c r="D7" i="2"/>
  <c r="F7" i="2" s="1"/>
  <c r="D12" i="1"/>
  <c r="G12" i="1" s="1"/>
  <c r="E12" i="1"/>
  <c r="D7" i="1"/>
  <c r="G7" i="1" s="1"/>
  <c r="E7" i="1"/>
  <c r="K12" i="4" l="1"/>
  <c r="L11" i="4"/>
  <c r="N12" i="2"/>
  <c r="O11" i="2"/>
  <c r="O24" i="1"/>
  <c r="P23" i="1"/>
  <c r="G34" i="1"/>
  <c r="H33" i="1"/>
  <c r="G7" i="2"/>
  <c r="B13" i="1"/>
  <c r="C13" i="1"/>
  <c r="F13" i="1" s="1"/>
  <c r="B8" i="1"/>
  <c r="C8" i="1"/>
  <c r="F8" i="1" s="1"/>
  <c r="L12" i="4" l="1"/>
  <c r="K13" i="4"/>
  <c r="N13" i="2"/>
  <c r="O12" i="2"/>
  <c r="O25" i="1"/>
  <c r="P25" i="1" s="1"/>
  <c r="P24" i="1"/>
  <c r="G35" i="1"/>
  <c r="H34" i="1"/>
  <c r="H7" i="2"/>
  <c r="I7" i="2" s="1"/>
  <c r="D13" i="1"/>
  <c r="G13" i="1" s="1"/>
  <c r="E13" i="1"/>
  <c r="D8" i="1"/>
  <c r="G8" i="1" s="1"/>
  <c r="E8" i="1"/>
  <c r="K14" i="4" l="1"/>
  <c r="L13" i="4"/>
  <c r="O13" i="2"/>
  <c r="N14" i="2"/>
  <c r="G36" i="1"/>
  <c r="G37" i="1" s="1"/>
  <c r="H35" i="1"/>
  <c r="B14" i="1"/>
  <c r="C14" i="1"/>
  <c r="F14" i="1" s="1"/>
  <c r="K15" i="4" l="1"/>
  <c r="L14" i="4"/>
  <c r="N15" i="2"/>
  <c r="O14" i="2"/>
  <c r="H36" i="1"/>
  <c r="H37" i="1"/>
  <c r="D14" i="1"/>
  <c r="G14" i="1" s="1"/>
  <c r="E14" i="1"/>
  <c r="K16" i="4" l="1"/>
  <c r="L15" i="4"/>
  <c r="N16" i="2"/>
  <c r="O15" i="2"/>
  <c r="B15" i="1"/>
  <c r="C15" i="1"/>
  <c r="F15" i="1" s="1"/>
  <c r="K17" i="4" l="1"/>
  <c r="L16" i="4"/>
  <c r="N17" i="2"/>
  <c r="O16" i="2"/>
  <c r="D15" i="1"/>
  <c r="G15" i="1" s="1"/>
  <c r="E15" i="1"/>
  <c r="K18" i="4" l="1"/>
  <c r="L17" i="4"/>
  <c r="N18" i="2"/>
  <c r="O17" i="2"/>
  <c r="B16" i="1"/>
  <c r="C16" i="1"/>
  <c r="F16" i="1" s="1"/>
  <c r="L18" i="4" l="1"/>
  <c r="K19" i="4"/>
  <c r="O18" i="2"/>
  <c r="N19" i="2"/>
  <c r="D16" i="1"/>
  <c r="G16" i="1" s="1"/>
  <c r="E16" i="1"/>
  <c r="K20" i="4" l="1"/>
  <c r="L19" i="4"/>
  <c r="O19" i="2"/>
  <c r="N20" i="2"/>
  <c r="K21" i="4" l="1"/>
  <c r="L20" i="4"/>
  <c r="N21" i="2"/>
  <c r="O20" i="2"/>
  <c r="K22" i="4" l="1"/>
  <c r="L21" i="4"/>
  <c r="N22" i="2"/>
  <c r="O21" i="2"/>
  <c r="K23" i="4" l="1"/>
  <c r="L22" i="4"/>
  <c r="N23" i="2"/>
  <c r="O22" i="2"/>
  <c r="K24" i="4" l="1"/>
  <c r="L23" i="4"/>
  <c r="N24" i="2"/>
  <c r="O23" i="2"/>
  <c r="L24" i="4" l="1"/>
  <c r="K25" i="4"/>
  <c r="N25" i="2"/>
  <c r="O24" i="2"/>
  <c r="K26" i="4" l="1"/>
  <c r="L25" i="4"/>
  <c r="O25" i="2"/>
  <c r="N26" i="2"/>
  <c r="K27" i="4" l="1"/>
  <c r="L26" i="4"/>
  <c r="O26" i="2"/>
  <c r="N27" i="2"/>
  <c r="K28" i="4" l="1"/>
  <c r="L27" i="4"/>
  <c r="N28" i="2"/>
  <c r="O27" i="2"/>
  <c r="K29" i="4" l="1"/>
  <c r="L28" i="4"/>
  <c r="N29" i="2"/>
  <c r="O28" i="2"/>
  <c r="K30" i="4" l="1"/>
  <c r="L29" i="4"/>
  <c r="N30" i="2"/>
  <c r="O29" i="2"/>
  <c r="L30" i="4" l="1"/>
  <c r="K31" i="4"/>
  <c r="N31" i="2"/>
  <c r="O30" i="2"/>
  <c r="K32" i="4" l="1"/>
  <c r="L31" i="4"/>
  <c r="N32" i="2"/>
  <c r="O31" i="2"/>
  <c r="K33" i="4" l="1"/>
  <c r="L32" i="4"/>
  <c r="N33" i="2"/>
  <c r="O32" i="2"/>
  <c r="K34" i="4" l="1"/>
  <c r="L33" i="4"/>
  <c r="N34" i="2"/>
  <c r="O33" i="2"/>
  <c r="K35" i="4" l="1"/>
  <c r="L34" i="4"/>
  <c r="N35" i="2"/>
  <c r="O34" i="2"/>
  <c r="K36" i="4" l="1"/>
  <c r="L35" i="4"/>
  <c r="N36" i="2"/>
  <c r="O35" i="2"/>
  <c r="L36" i="4" l="1"/>
  <c r="K37" i="4"/>
  <c r="N37" i="2"/>
  <c r="O36" i="2"/>
  <c r="K38" i="4" l="1"/>
  <c r="L38" i="4" s="1"/>
  <c r="L37" i="4"/>
  <c r="N38" i="2"/>
  <c r="O38" i="2" s="1"/>
  <c r="O37" i="2"/>
</calcChain>
</file>

<file path=xl/sharedStrings.xml><?xml version="1.0" encoding="utf-8"?>
<sst xmlns="http://schemas.openxmlformats.org/spreadsheetml/2006/main" count="44" uniqueCount="23">
  <si>
    <t>итерация</t>
  </si>
  <si>
    <t>a</t>
  </si>
  <si>
    <t>b</t>
  </si>
  <si>
    <t>c</t>
  </si>
  <si>
    <t>f(a)</t>
  </si>
  <si>
    <t>f(b)</t>
  </si>
  <si>
    <t>f(с)</t>
  </si>
  <si>
    <t>b-a</t>
  </si>
  <si>
    <t>Итерация</t>
  </si>
  <si>
    <t>x</t>
  </si>
  <si>
    <t>f(x)</t>
  </si>
  <si>
    <t>|x(k)-x(k-1)|</t>
  </si>
  <si>
    <t>----------------</t>
  </si>
  <si>
    <t>k</t>
  </si>
  <si>
    <t>x(k)</t>
  </si>
  <si>
    <t>x(k+1)</t>
  </si>
  <si>
    <t>|x(k+1)-x(k)|</t>
  </si>
  <si>
    <t>f(x(k))</t>
  </si>
  <si>
    <t>f'(x(k))</t>
  </si>
  <si>
    <t>y</t>
  </si>
  <si>
    <t>y=x</t>
  </si>
  <si>
    <t>y=f(x)</t>
  </si>
  <si>
    <t>f'(x(0))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</si>
</sst>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0" borderId="4" xfId="0" applyBorder="1"/>
    <xf numFmtId="0" fontId="0" fillId="0" borderId="0" xfId="0" applyAlignment="1"/>
    <xf numFmtId="0" fontId="0" fillId="0" borderId="0" xfId="0" quotePrefix="1"/>
    <xf numFmtId="0" fontId="0" fillId="0" borderId="5" xfId="0" applyBorder="1" applyAlignme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МПД!$O$2:$O$25</c:f>
              <c:numCache>
                <c:formatCode>General</c:formatCode>
                <c:ptCount val="24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</c:numCache>
            </c:numRef>
          </c:xVal>
          <c:yVal>
            <c:numRef>
              <c:f>МПД!$P$2:$P$25</c:f>
              <c:numCache>
                <c:formatCode>General</c:formatCode>
                <c:ptCount val="24"/>
                <c:pt idx="0">
                  <c:v>4</c:v>
                </c:pt>
                <c:pt idx="1">
                  <c:v>3.9806203596086496</c:v>
                </c:pt>
                <c:pt idx="2">
                  <c:v>3.9246431135879094</c:v>
                </c:pt>
                <c:pt idx="3">
                  <c:v>3.8347285289349822</c:v>
                </c:pt>
                <c:pt idx="4">
                  <c:v>3.712944473242425</c:v>
                </c:pt>
                <c:pt idx="5">
                  <c:v>3.5609302162163279</c:v>
                </c:pt>
                <c:pt idx="6">
                  <c:v>3.38000725849147</c:v>
                </c:pt>
                <c:pt idx="7">
                  <c:v>3.1712565021243395</c:v>
                </c:pt>
                <c:pt idx="8">
                  <c:v>2.9355733298042361</c:v>
                </c:pt>
                <c:pt idx="9">
                  <c:v>2.6737077723447875</c:v>
                </c:pt>
                <c:pt idx="10">
                  <c:v>2.3862943611198881</c:v>
                </c:pt>
                <c:pt idx="11">
                  <c:v>2.0738746894587519</c:v>
                </c:pt>
                <c:pt idx="12">
                  <c:v>1.7369147207285369</c:v>
                </c:pt>
                <c:pt idx="13">
                  <c:v>1.375818245870204</c:v>
                </c:pt>
                <c:pt idx="14">
                  <c:v>0.99093747470779459</c:v>
                </c:pt>
                <c:pt idx="15">
                  <c:v>0.582581463748304</c:v>
                </c:pt>
                <c:pt idx="16">
                  <c:v>0.15102289005486647</c:v>
                </c:pt>
                <c:pt idx="17">
                  <c:v>-0.30349645397943981</c:v>
                </c:pt>
                <c:pt idx="18">
                  <c:v>-0.78076116563769116</c:v>
                </c:pt>
                <c:pt idx="19">
                  <c:v>-1.2805785260151517</c:v>
                </c:pt>
                <c:pt idx="20">
                  <c:v>-1.8027754226637906</c:v>
                </c:pt>
                <c:pt idx="21">
                  <c:v>-2.3471957770178093</c:v>
                </c:pt>
                <c:pt idx="22">
                  <c:v>-2.9136983803886496</c:v>
                </c:pt>
                <c:pt idx="23">
                  <c:v>-3.5021550630551417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21-43BD-9BEB-DD9E82BDE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38191"/>
        <c:axId val="573134495"/>
      </c:scatterChart>
      <c:valAx>
        <c:axId val="57313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134495"/>
        <c:crosses val="autoZero"/>
        <c:crossBetween val="midCat"/>
      </c:valAx>
      <c:valAx>
        <c:axId val="57313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13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0344925634295714E-2"/>
          <c:y val="0.18332166812481773"/>
          <c:w val="0.88887729658792647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МПД!$G$25:$G$37</c:f>
              <c:numCache>
                <c:formatCode>General</c:formatCode>
                <c:ptCount val="1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0.3</c:v>
                </c:pt>
                <c:pt idx="4">
                  <c:v>0.6</c:v>
                </c:pt>
                <c:pt idx="5">
                  <c:v>0.89999999999999991</c:v>
                </c:pt>
                <c:pt idx="6">
                  <c:v>1.2</c:v>
                </c:pt>
                <c:pt idx="7">
                  <c:v>1.5</c:v>
                </c:pt>
                <c:pt idx="8">
                  <c:v>1.8</c:v>
                </c:pt>
                <c:pt idx="9">
                  <c:v>2.1</c:v>
                </c:pt>
                <c:pt idx="10">
                  <c:v>2.4</c:v>
                </c:pt>
                <c:pt idx="11">
                  <c:v>2.6999999999999997</c:v>
                </c:pt>
                <c:pt idx="12">
                  <c:v>2.9999999999999996</c:v>
                </c:pt>
              </c:numCache>
            </c:numRef>
          </c:xVal>
          <c:yVal>
            <c:numRef>
              <c:f>МПД!$H$25:$H$37</c:f>
              <c:numCache>
                <c:formatCode>General</c:formatCode>
                <c:ptCount val="13"/>
                <c:pt idx="0">
                  <c:v>-4.2104403719761816</c:v>
                </c:pt>
                <c:pt idx="1">
                  <c:v>-0.9939645471079821</c:v>
                </c:pt>
                <c:pt idx="2">
                  <c:v>0.3848298140119093</c:v>
                </c:pt>
                <c:pt idx="3">
                  <c:v>2.5020543913481279</c:v>
                </c:pt>
                <c:pt idx="4">
                  <c:v>3.6183487524680187</c:v>
                </c:pt>
                <c:pt idx="5">
                  <c:v>3.9792789686843473</c:v>
                </c:pt>
                <c:pt idx="6">
                  <c:v>3.9246431135879094</c:v>
                </c:pt>
                <c:pt idx="7">
                  <c:v>3.5609302162163288</c:v>
                </c:pt>
                <c:pt idx="8">
                  <c:v>2.9355733298042379</c:v>
                </c:pt>
                <c:pt idx="9">
                  <c:v>2.0738746894587545</c:v>
                </c:pt>
                <c:pt idx="10">
                  <c:v>0.99093747470779991</c:v>
                </c:pt>
                <c:pt idx="11">
                  <c:v>-0.30349645397943181</c:v>
                </c:pt>
                <c:pt idx="12">
                  <c:v>-1.8027754226637773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9-4DD4-B424-6D816EF9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231887"/>
        <c:axId val="779232303"/>
      </c:scatterChart>
      <c:valAx>
        <c:axId val="77923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232303"/>
        <c:crosses val="autoZero"/>
        <c:crossBetween val="midCat"/>
      </c:valAx>
      <c:valAx>
        <c:axId val="7792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23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Хорд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Хорд!$N$2:$N$38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</c:numCache>
            </c:numRef>
          </c:xVal>
          <c:yVal>
            <c:numRef>
              <c:f>Хорд!$O$2:$O$38</c:f>
              <c:numCache>
                <c:formatCode>General</c:formatCode>
                <c:ptCount val="37"/>
                <c:pt idx="0">
                  <c:v>0.3848298140119093</c:v>
                </c:pt>
                <c:pt idx="1">
                  <c:v>1.7411241751317994</c:v>
                </c:pt>
                <c:pt idx="2">
                  <c:v>2.5020543913481283</c:v>
                </c:pt>
                <c:pt idx="3">
                  <c:v>3.0074185362516901</c:v>
                </c:pt>
                <c:pt idx="4">
                  <c:v>3.3637056388801092</c:v>
                </c:pt>
                <c:pt idx="5">
                  <c:v>3.6183487524680187</c:v>
                </c:pt>
                <c:pt idx="6">
                  <c:v>3.7966501121225349</c:v>
                </c:pt>
                <c:pt idx="7">
                  <c:v>3.9137128973715805</c:v>
                </c:pt>
                <c:pt idx="8">
                  <c:v>3.9792789686843473</c:v>
                </c:pt>
                <c:pt idx="9">
                  <c:v>4</c:v>
                </c:pt>
                <c:pt idx="10">
                  <c:v>3.9806203596086496</c:v>
                </c:pt>
                <c:pt idx="11">
                  <c:v>3.9246431135879094</c:v>
                </c:pt>
                <c:pt idx="12">
                  <c:v>3.8347285289349822</c:v>
                </c:pt>
                <c:pt idx="13">
                  <c:v>3.7129444732424255</c:v>
                </c:pt>
                <c:pt idx="14">
                  <c:v>3.5609302162163283</c:v>
                </c:pt>
                <c:pt idx="15">
                  <c:v>3.3800072584914704</c:v>
                </c:pt>
                <c:pt idx="16">
                  <c:v>3.17125650212434</c:v>
                </c:pt>
                <c:pt idx="17">
                  <c:v>2.935573329804237</c:v>
                </c:pt>
                <c:pt idx="18">
                  <c:v>2.673707772344788</c:v>
                </c:pt>
                <c:pt idx="19">
                  <c:v>2.386294361119889</c:v>
                </c:pt>
                <c:pt idx="20">
                  <c:v>2.0738746894587532</c:v>
                </c:pt>
                <c:pt idx="21">
                  <c:v>1.7369147207285387</c:v>
                </c:pt>
                <c:pt idx="22">
                  <c:v>1.3758182458702048</c:v>
                </c:pt>
                <c:pt idx="23">
                  <c:v>0.99093747470779636</c:v>
                </c:pt>
                <c:pt idx="24">
                  <c:v>0.58258146374830666</c:v>
                </c:pt>
                <c:pt idx="25">
                  <c:v>0.15102289005486824</c:v>
                </c:pt>
                <c:pt idx="26">
                  <c:v>-0.30349645397943803</c:v>
                </c:pt>
                <c:pt idx="27">
                  <c:v>-0.78076116563768849</c:v>
                </c:pt>
                <c:pt idx="28">
                  <c:v>-1.2805785260151499</c:v>
                </c:pt>
                <c:pt idx="29">
                  <c:v>-1.8027754226637871</c:v>
                </c:pt>
                <c:pt idx="30">
                  <c:v>-2.3471957770178058</c:v>
                </c:pt>
                <c:pt idx="31">
                  <c:v>-2.9136983803886469</c:v>
                </c:pt>
                <c:pt idx="32">
                  <c:v>-3.5021550630551417</c:v>
                </c:pt>
                <c:pt idx="33">
                  <c:v>-4.1124491367557781</c:v>
                </c:pt>
                <c:pt idx="34">
                  <c:v>-4.7444740630092745</c:v>
                </c:pt>
                <c:pt idx="35">
                  <c:v>-5.3981323090758835</c:v>
                </c:pt>
                <c:pt idx="36">
                  <c:v>-6.0733343606996542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F6-471C-9963-1C2FF6E3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269967"/>
        <c:axId val="780270383"/>
      </c:scatterChart>
      <c:valAx>
        <c:axId val="78026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0270383"/>
        <c:crosses val="autoZero"/>
        <c:crossBetween val="midCat"/>
      </c:valAx>
      <c:valAx>
        <c:axId val="78027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026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</a:t>
            </a:r>
            <a:r>
              <a:rPr lang="ru-RU" baseline="0"/>
              <a:t> простых итераций</a:t>
            </a:r>
            <a:endParaRPr lang="ru-RU"/>
          </a:p>
        </c:rich>
      </c:tx>
      <c:layout>
        <c:manualLayout>
          <c:xMode val="edge"/>
          <c:yMode val="edge"/>
          <c:x val="0.36895915678524377"/>
          <c:y val="2.2291886806362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МПИ!$K$2:$K$22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xVal>
          <c:yVal>
            <c:numRef>
              <c:f>МПИ!$L$2:$L$22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4-46DD-A2EE-6B49BF9E722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МПИ!$K$2:$K$22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xVal>
          <c:yVal>
            <c:numRef>
              <c:f>МПИ!$M$2:$M$22</c:f>
              <c:numCache>
                <c:formatCode>General</c:formatCode>
                <c:ptCount val="21"/>
                <c:pt idx="0">
                  <c:v>2.410587110273414</c:v>
                </c:pt>
                <c:pt idx="1">
                  <c:v>2.4372130104878957</c:v>
                </c:pt>
                <c:pt idx="2">
                  <c:v>2.4619619213392276</c:v>
                </c:pt>
                <c:pt idx="3">
                  <c:v>2.485070085491401</c:v>
                </c:pt>
                <c:pt idx="4">
                  <c:v>2.5067324891868279</c:v>
                </c:pt>
                <c:pt idx="5">
                  <c:v>2.5271118616159218</c:v>
                </c:pt>
                <c:pt idx="6">
                  <c:v>2.5463453594237282</c:v>
                </c:pt>
                <c:pt idx="7">
                  <c:v>2.5645496136219594</c:v>
                </c:pt>
                <c:pt idx="8">
                  <c:v>2.5818245962633108</c:v>
                </c:pt>
                <c:pt idx="9">
                  <c:v>2.5982566221810734</c:v>
                </c:pt>
                <c:pt idx="10">
                  <c:v>2.6139207072419604</c:v>
                </c:pt>
                <c:pt idx="11">
                  <c:v>2.6288824412770673</c:v>
                </c:pt>
                <c:pt idx="12">
                  <c:v>2.6431994903942773</c:v>
                </c:pt>
                <c:pt idx="13">
                  <c:v>2.65692281302305</c:v>
                </c:pt>
                <c:pt idx="14">
                  <c:v>2.6700976525185101</c:v>
                </c:pt>
                <c:pt idx="15">
                  <c:v>2.6827643536725732</c:v>
                </c:pt>
                <c:pt idx="16">
                  <c:v>2.6949590392030456</c:v>
                </c:pt>
                <c:pt idx="17">
                  <c:v>2.7067141739776224</c:v>
                </c:pt>
                <c:pt idx="18">
                  <c:v>2.7180590385318841</c:v>
                </c:pt>
                <c:pt idx="19">
                  <c:v>2.7290201287722726</c:v>
                </c:pt>
                <c:pt idx="20">
                  <c:v>2.7396214952052658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4-46DD-A2EE-6B49BF9E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24031"/>
        <c:axId val="765621119"/>
      </c:scatterChart>
      <c:valAx>
        <c:axId val="7656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621119"/>
        <c:crosses val="autoZero"/>
        <c:crossBetween val="midCat"/>
      </c:valAx>
      <c:valAx>
        <c:axId val="7656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62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Метод простых итераций наглядно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МПИ!$K$2:$K$22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xVal>
          <c:yVal>
            <c:numRef>
              <c:f>МПИ!$L$2:$L$22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E-45D5-9184-F3B09A399D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МПИ!$K$2:$K$22</c:f>
              <c:numCache>
                <c:formatCode>General</c:formatCode>
                <c:ptCount val="21"/>
                <c:pt idx="0">
                  <c:v>1.5</c:v>
                </c:pt>
                <c:pt idx="1">
                  <c:v>1.6</c:v>
                </c:pt>
                <c:pt idx="2">
                  <c:v>1.7000000000000002</c:v>
                </c:pt>
                <c:pt idx="3">
                  <c:v>1.8000000000000003</c:v>
                </c:pt>
                <c:pt idx="4">
                  <c:v>1.9000000000000004</c:v>
                </c:pt>
                <c:pt idx="5">
                  <c:v>2.0000000000000004</c:v>
                </c:pt>
                <c:pt idx="6">
                  <c:v>2.1000000000000005</c:v>
                </c:pt>
                <c:pt idx="7">
                  <c:v>2.2000000000000006</c:v>
                </c:pt>
                <c:pt idx="8">
                  <c:v>2.3000000000000007</c:v>
                </c:pt>
                <c:pt idx="9">
                  <c:v>2.4000000000000008</c:v>
                </c:pt>
                <c:pt idx="10">
                  <c:v>2.5000000000000009</c:v>
                </c:pt>
                <c:pt idx="11">
                  <c:v>2.600000000000001</c:v>
                </c:pt>
                <c:pt idx="12">
                  <c:v>2.7000000000000011</c:v>
                </c:pt>
                <c:pt idx="13">
                  <c:v>2.8000000000000012</c:v>
                </c:pt>
                <c:pt idx="14">
                  <c:v>2.9000000000000012</c:v>
                </c:pt>
                <c:pt idx="15">
                  <c:v>3.0000000000000013</c:v>
                </c:pt>
                <c:pt idx="16">
                  <c:v>3.1000000000000014</c:v>
                </c:pt>
                <c:pt idx="17">
                  <c:v>3.2000000000000015</c:v>
                </c:pt>
                <c:pt idx="18">
                  <c:v>3.3000000000000016</c:v>
                </c:pt>
                <c:pt idx="19">
                  <c:v>3.4000000000000017</c:v>
                </c:pt>
                <c:pt idx="20">
                  <c:v>3.5000000000000018</c:v>
                </c:pt>
              </c:numCache>
            </c:numRef>
          </c:xVal>
          <c:yVal>
            <c:numRef>
              <c:f>МПИ!$M$2:$M$22</c:f>
              <c:numCache>
                <c:formatCode>General</c:formatCode>
                <c:ptCount val="21"/>
                <c:pt idx="0">
                  <c:v>2.410587110273414</c:v>
                </c:pt>
                <c:pt idx="1">
                  <c:v>2.4372130104878957</c:v>
                </c:pt>
                <c:pt idx="2">
                  <c:v>2.4619619213392276</c:v>
                </c:pt>
                <c:pt idx="3">
                  <c:v>2.485070085491401</c:v>
                </c:pt>
                <c:pt idx="4">
                  <c:v>2.5067324891868279</c:v>
                </c:pt>
                <c:pt idx="5">
                  <c:v>2.5271118616159218</c:v>
                </c:pt>
                <c:pt idx="6">
                  <c:v>2.5463453594237282</c:v>
                </c:pt>
                <c:pt idx="7">
                  <c:v>2.5645496136219594</c:v>
                </c:pt>
                <c:pt idx="8">
                  <c:v>2.5818245962633108</c:v>
                </c:pt>
                <c:pt idx="9">
                  <c:v>2.5982566221810734</c:v>
                </c:pt>
                <c:pt idx="10">
                  <c:v>2.6139207072419604</c:v>
                </c:pt>
                <c:pt idx="11">
                  <c:v>2.6288824412770673</c:v>
                </c:pt>
                <c:pt idx="12">
                  <c:v>2.6431994903942773</c:v>
                </c:pt>
                <c:pt idx="13">
                  <c:v>2.65692281302305</c:v>
                </c:pt>
                <c:pt idx="14">
                  <c:v>2.6700976525185101</c:v>
                </c:pt>
                <c:pt idx="15">
                  <c:v>2.6827643536725732</c:v>
                </c:pt>
                <c:pt idx="16">
                  <c:v>2.6949590392030456</c:v>
                </c:pt>
                <c:pt idx="17">
                  <c:v>2.7067141739776224</c:v>
                </c:pt>
                <c:pt idx="18">
                  <c:v>2.7180590385318841</c:v>
                </c:pt>
                <c:pt idx="19">
                  <c:v>2.7290201287722726</c:v>
                </c:pt>
                <c:pt idx="20">
                  <c:v>2.7396214952052658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AE-45D5-9184-F3B09A39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19871"/>
        <c:axId val="765614879"/>
      </c:scatterChart>
      <c:valAx>
        <c:axId val="765619871"/>
        <c:scaling>
          <c:orientation val="minMax"/>
          <c:max val="3.1"/>
          <c:min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614879"/>
        <c:crosses val="autoZero"/>
        <c:crossBetween val="midCat"/>
      </c:valAx>
      <c:valAx>
        <c:axId val="765614879"/>
        <c:scaling>
          <c:orientation val="minMax"/>
          <c:max val="3.1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61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Ньютона!$K$2:$K$38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</c:numCache>
            </c:numRef>
          </c:xVal>
          <c:yVal>
            <c:numRef>
              <c:f>Ньютона!$L$2:$L$38</c:f>
              <c:numCache>
                <c:formatCode>General</c:formatCode>
                <c:ptCount val="37"/>
                <c:pt idx="0">
                  <c:v>0.3848298140119093</c:v>
                </c:pt>
                <c:pt idx="1">
                  <c:v>1.7411241751317994</c:v>
                </c:pt>
                <c:pt idx="2">
                  <c:v>2.5020543913481283</c:v>
                </c:pt>
                <c:pt idx="3">
                  <c:v>3.0074185362516901</c:v>
                </c:pt>
                <c:pt idx="4">
                  <c:v>3.3637056388801092</c:v>
                </c:pt>
                <c:pt idx="5">
                  <c:v>3.6183487524680187</c:v>
                </c:pt>
                <c:pt idx="6">
                  <c:v>3.7966501121225349</c:v>
                </c:pt>
                <c:pt idx="7">
                  <c:v>3.9137128973715805</c:v>
                </c:pt>
                <c:pt idx="8">
                  <c:v>3.9792789686843473</c:v>
                </c:pt>
                <c:pt idx="9">
                  <c:v>4</c:v>
                </c:pt>
                <c:pt idx="10">
                  <c:v>3.9806203596086496</c:v>
                </c:pt>
                <c:pt idx="11">
                  <c:v>3.9246431135879094</c:v>
                </c:pt>
                <c:pt idx="12">
                  <c:v>3.8347285289349822</c:v>
                </c:pt>
                <c:pt idx="13">
                  <c:v>3.7129444732424255</c:v>
                </c:pt>
                <c:pt idx="14">
                  <c:v>3.5609302162163283</c:v>
                </c:pt>
                <c:pt idx="15">
                  <c:v>3.3800072584914704</c:v>
                </c:pt>
                <c:pt idx="16">
                  <c:v>3.17125650212434</c:v>
                </c:pt>
                <c:pt idx="17">
                  <c:v>2.935573329804237</c:v>
                </c:pt>
                <c:pt idx="18">
                  <c:v>2.673707772344788</c:v>
                </c:pt>
                <c:pt idx="19">
                  <c:v>2.386294361119889</c:v>
                </c:pt>
                <c:pt idx="20">
                  <c:v>2.0738746894587532</c:v>
                </c:pt>
                <c:pt idx="21">
                  <c:v>1.7369147207285387</c:v>
                </c:pt>
                <c:pt idx="22">
                  <c:v>1.3758182458702048</c:v>
                </c:pt>
                <c:pt idx="23">
                  <c:v>0.99093747470779636</c:v>
                </c:pt>
                <c:pt idx="24">
                  <c:v>0.58258146374830666</c:v>
                </c:pt>
                <c:pt idx="25">
                  <c:v>0.15102289005486824</c:v>
                </c:pt>
                <c:pt idx="26">
                  <c:v>-0.30349645397943803</c:v>
                </c:pt>
                <c:pt idx="27">
                  <c:v>-0.78076116563768849</c:v>
                </c:pt>
                <c:pt idx="28">
                  <c:v>-1.2805785260151499</c:v>
                </c:pt>
                <c:pt idx="29">
                  <c:v>-1.8027754226637871</c:v>
                </c:pt>
                <c:pt idx="30">
                  <c:v>-2.3471957770178058</c:v>
                </c:pt>
                <c:pt idx="31">
                  <c:v>-2.9136983803886469</c:v>
                </c:pt>
                <c:pt idx="32">
                  <c:v>-3.5021550630551417</c:v>
                </c:pt>
                <c:pt idx="33">
                  <c:v>-4.1124491367557781</c:v>
                </c:pt>
                <c:pt idx="34">
                  <c:v>-4.7444740630092745</c:v>
                </c:pt>
                <c:pt idx="35">
                  <c:v>-5.3981323090758835</c:v>
                </c:pt>
                <c:pt idx="36">
                  <c:v>-6.0733343606996542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2-408A-9E2C-5221C6B37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099263"/>
        <c:axId val="916093855"/>
      </c:scatterChart>
      <c:valAx>
        <c:axId val="91609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6093855"/>
        <c:crosses val="autoZero"/>
        <c:crossBetween val="midCat"/>
      </c:valAx>
      <c:valAx>
        <c:axId val="9160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609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457199</xdr:colOff>
      <xdr:row>3</xdr:row>
      <xdr:rowOff>61912</xdr:rowOff>
    </xdr:from>
    <xdr:to>
      <xdr:col>28</xdr:col>
      <xdr:colOff>200024</xdr:colOff>
      <xdr:row>29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AA01D10-ABCE-40FC-B1F3-90A9B3D0D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20</xdr:row>
      <xdr:rowOff>61912</xdr:rowOff>
    </xdr:from>
    <xdr:to>
      <xdr:col>9</xdr:col>
      <xdr:colOff>495300</xdr:colOff>
      <xdr:row>39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CB58EF4-F33D-4261-9ECB-7CBCCD4B5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0.5695</cdr:x>
      <cdr:y>0.1908</cdr:y>
    </cdr:from>
    <cdr:to>
      <cdr:x>0.5695</cdr:x>
      <cdr:y>0.84468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2BE5D0B-50DE-469E-A3D9-0F2E964938B5}"/>
            </a:ext>
          </a:extLst>
        </cdr:cNvPr>
        <cdr:cNvCxnSpPr/>
      </cdr:nvCxnSpPr>
      <cdr:spPr>
        <a:xfrm xmlns:a="http://schemas.openxmlformats.org/drawingml/2006/main">
          <a:off x="4019551" y="947738"/>
          <a:ext cx="0" cy="32480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0.83716</cdr:x>
      <cdr:y>0.19911</cdr:y>
    </cdr:from>
    <cdr:to>
      <cdr:x>0.83716</cdr:x>
      <cdr:y>0.85299</cdr:y>
    </cdr:to>
    <cdr:cxnSp macro="">
      <cdr:nvCxnSpPr>
        <cdr:cNvPr id="4" name="Прямая соединительная линия 3">
          <a:extLst xmlns:a="http://schemas.openxmlformats.org/drawingml/2006/main">
            <a:ext uri="{FF2B5EF4-FFF2-40B4-BE49-F238E27FC236}">
              <a16:creationId xmlns:a16="http://schemas.microsoft.com/office/drawing/2014/main" id="{6EDB3F17-BA6B-4F31-8B7D-A3DA9A07F017}"/>
            </a:ext>
          </a:extLst>
        </cdr:cNvPr>
        <cdr:cNvCxnSpPr/>
      </cdr:nvCxnSpPr>
      <cdr:spPr>
        <a:xfrm xmlns:a="http://schemas.openxmlformats.org/drawingml/2006/main">
          <a:off x="5908676" y="989013"/>
          <a:ext cx="0" cy="32480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0.7049</cdr:x>
      <cdr:y>0.50399</cdr:y>
    </cdr:from>
    <cdr:to>
      <cdr:x>0.7049</cdr:x>
      <cdr:y>0.64909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6EDB3F17-BA6B-4F31-8B7D-A3DA9A07F017}"/>
            </a:ext>
          </a:extLst>
        </cdr:cNvPr>
        <cdr:cNvCxnSpPr/>
      </cdr:nvCxnSpPr>
      <cdr:spPr>
        <a:xfrm xmlns:a="http://schemas.openxmlformats.org/drawingml/2006/main">
          <a:off x="4975226" y="2503488"/>
          <a:ext cx="0" cy="7207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333374</xdr:colOff>
      <xdr:row>2</xdr:row>
      <xdr:rowOff>14286</xdr:rowOff>
    </xdr:from>
    <xdr:to>
      <xdr:col>31</xdr:col>
      <xdr:colOff>228599</xdr:colOff>
      <xdr:row>32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E330F3-103E-402F-BD4D-6635E163E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304800</xdr:colOff>
      <xdr:row>11</xdr:row>
      <xdr:rowOff>114300</xdr:rowOff>
    </xdr:from>
    <xdr:to>
      <xdr:col>27</xdr:col>
      <xdr:colOff>504825</xdr:colOff>
      <xdr:row>19</xdr:row>
      <xdr:rowOff>161925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976A33CA-8052-41EE-918A-7C29697F9B6A}"/>
            </a:ext>
          </a:extLst>
        </xdr:cNvPr>
        <xdr:cNvCxnSpPr/>
      </xdr:nvCxnSpPr>
      <xdr:spPr>
        <a:xfrm>
          <a:off x="15182850" y="2209800"/>
          <a:ext cx="2028825" cy="15716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186887</xdr:colOff>
      <xdr:row>16</xdr:row>
      <xdr:rowOff>7226</xdr:rowOff>
    </xdr:from>
    <xdr:to>
      <xdr:col>26</xdr:col>
      <xdr:colOff>259146</xdr:colOff>
      <xdr:row>16</xdr:row>
      <xdr:rowOff>86053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265731A5-B53E-40E6-9BAE-340AD99A975E}"/>
            </a:ext>
          </a:extLst>
        </xdr:cNvPr>
        <xdr:cNvSpPr/>
      </xdr:nvSpPr>
      <xdr:spPr>
        <a:xfrm>
          <a:off x="16284137" y="3055226"/>
          <a:ext cx="72259" cy="78827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200025</xdr:colOff>
      <xdr:row>16</xdr:row>
      <xdr:rowOff>152400</xdr:rowOff>
    </xdr:from>
    <xdr:to>
      <xdr:col>26</xdr:col>
      <xdr:colOff>228600</xdr:colOff>
      <xdr:row>26</xdr:row>
      <xdr:rowOff>161926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7F378F0-F624-4AD8-A4BF-917B052BD655}"/>
            </a:ext>
          </a:extLst>
        </xdr:cNvPr>
        <xdr:cNvCxnSpPr/>
      </xdr:nvCxnSpPr>
      <xdr:spPr>
        <a:xfrm flipV="1">
          <a:off x="16297275" y="3200400"/>
          <a:ext cx="28575" cy="1914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219075</xdr:colOff>
      <xdr:row>27</xdr:row>
      <xdr:rowOff>57150</xdr:rowOff>
    </xdr:from>
    <xdr:to>
      <xdr:col>27</xdr:col>
      <xdr:colOff>247650</xdr:colOff>
      <xdr:row>28</xdr:row>
      <xdr:rowOff>133350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53C530-ED4F-40C3-9494-3850D42B9AD6}"/>
            </a:ext>
          </a:extLst>
        </xdr:cNvPr>
        <xdr:cNvSpPr txBox="1"/>
      </xdr:nvSpPr>
      <xdr:spPr>
        <a:xfrm>
          <a:off x="15706725" y="5200650"/>
          <a:ext cx="12477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Первая итерация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0.67571</cdr:x>
      <cdr:y>0.19347</cdr:y>
    </cdr:from>
    <cdr:to>
      <cdr:x>0.77288</cdr:x>
      <cdr:y>0.21959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BA65487-F4D8-4F3F-A8C3-9EB633379BCC}"/>
            </a:ext>
          </a:extLst>
        </cdr:cNvPr>
        <cdr:cNvSpPr txBox="1"/>
      </cdr:nvSpPr>
      <cdr:spPr>
        <a:xfrm xmlns:a="http://schemas.openxmlformats.org/drawingml/2006/main">
          <a:off x="5695951" y="1128714"/>
          <a:ext cx="819150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161924</xdr:colOff>
      <xdr:row>2</xdr:row>
      <xdr:rowOff>66675</xdr:rowOff>
    </xdr:from>
    <xdr:to>
      <xdr:col>27</xdr:col>
      <xdr:colOff>76199</xdr:colOff>
      <xdr:row>26</xdr:row>
      <xdr:rowOff>52387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EAF1F61-6B30-48CD-91C3-BEE515BD3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47625</xdr:colOff>
      <xdr:row>10</xdr:row>
      <xdr:rowOff>161925</xdr:rowOff>
    </xdr:from>
    <xdr:to>
      <xdr:col>24</xdr:col>
      <xdr:colOff>47625</xdr:colOff>
      <xdr:row>23</xdr:row>
      <xdr:rowOff>47625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A8A5A840-D331-426C-A5A7-4B61BD22BD42}"/>
            </a:ext>
          </a:extLst>
        </xdr:cNvPr>
        <xdr:cNvCxnSpPr/>
      </xdr:nvCxnSpPr>
      <xdr:spPr>
        <a:xfrm flipV="1">
          <a:off x="15049500" y="2066925"/>
          <a:ext cx="0" cy="23622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117231</xdr:colOff>
      <xdr:row>10</xdr:row>
      <xdr:rowOff>164523</xdr:rowOff>
    </xdr:from>
    <xdr:to>
      <xdr:col>24</xdr:col>
      <xdr:colOff>56284</xdr:colOff>
      <xdr:row>10</xdr:row>
      <xdr:rowOff>168519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BCC2803A-8CEF-4E6E-85FA-47179AC6C610}"/>
            </a:ext>
          </a:extLst>
        </xdr:cNvPr>
        <xdr:cNvCxnSpPr/>
      </xdr:nvCxnSpPr>
      <xdr:spPr>
        <a:xfrm flipH="1">
          <a:off x="14530288" y="2069523"/>
          <a:ext cx="549519" cy="3996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121227</xdr:colOff>
      <xdr:row>10</xdr:row>
      <xdr:rowOff>160193</xdr:rowOff>
    </xdr:from>
    <xdr:to>
      <xdr:col>23</xdr:col>
      <xdr:colOff>121227</xdr:colOff>
      <xdr:row>11</xdr:row>
      <xdr:rowOff>12989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43E15F47-7D88-4AE9-9F58-4B8B4FFF5F4E}"/>
            </a:ext>
          </a:extLst>
        </xdr:cNvPr>
        <xdr:cNvCxnSpPr/>
      </xdr:nvCxnSpPr>
      <xdr:spPr>
        <a:xfrm>
          <a:off x="14534284" y="2065193"/>
          <a:ext cx="0" cy="43296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77011</xdr:colOff>
      <xdr:row>11</xdr:row>
      <xdr:rowOff>20266</xdr:rowOff>
    </xdr:from>
    <xdr:to>
      <xdr:col>23</xdr:col>
      <xdr:colOff>125649</xdr:colOff>
      <xdr:row>11</xdr:row>
      <xdr:rowOff>20266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C1BBC257-1768-41F8-A497-D5456F5A21B7}"/>
            </a:ext>
          </a:extLst>
        </xdr:cNvPr>
        <xdr:cNvCxnSpPr/>
      </xdr:nvCxnSpPr>
      <xdr:spPr>
        <a:xfrm flipH="1">
          <a:off x="14433415" y="2115766"/>
          <a:ext cx="48638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10</xdr:row>
      <xdr:rowOff>166686</xdr:rowOff>
    </xdr:from>
    <xdr:to>
      <xdr:col>10</xdr:col>
      <xdr:colOff>133350</xdr:colOff>
      <xdr:row>33</xdr:row>
      <xdr:rowOff>190499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6247D415-1DA3-4BB9-804D-D84BB93E4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0.83485</cdr:x>
      <cdr:y>0.55892</cdr:y>
    </cdr:from>
    <cdr:to>
      <cdr:x>0.83485</cdr:x>
      <cdr:y>0.86811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5EBB4684-FD3C-47CD-B967-56F6A65F78BE}"/>
            </a:ext>
          </a:extLst>
        </cdr:cNvPr>
        <cdr:cNvCxnSpPr/>
      </cdr:nvCxnSpPr>
      <cdr:spPr>
        <a:xfrm xmlns:a="http://schemas.openxmlformats.org/drawingml/2006/main" flipV="1">
          <a:off x="5248275" y="2462214"/>
          <a:ext cx="0" cy="136207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0.42879</cdr:x>
      <cdr:y>0.55459</cdr:y>
    </cdr:from>
    <cdr:to>
      <cdr:x>0.83788</cdr:x>
      <cdr:y>0.55459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7BA38F82-311C-4305-B2CA-2F546323C81E}"/>
            </a:ext>
          </a:extLst>
        </cdr:cNvPr>
        <cdr:cNvCxnSpPr/>
      </cdr:nvCxnSpPr>
      <cdr:spPr>
        <a:xfrm xmlns:a="http://schemas.openxmlformats.org/drawingml/2006/main" flipH="1">
          <a:off x="2695575" y="2443164"/>
          <a:ext cx="257175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0.42879</cdr:x>
      <cdr:y>0.55676</cdr:y>
    </cdr:from>
    <cdr:to>
      <cdr:x>0.42879</cdr:x>
      <cdr:y>0.6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3FBC8CD6-EDA2-4B9A-830E-7CBE8221CEC0}"/>
            </a:ext>
          </a:extLst>
        </cdr:cNvPr>
        <cdr:cNvCxnSpPr/>
      </cdr:nvCxnSpPr>
      <cdr:spPr>
        <a:xfrm xmlns:a="http://schemas.openxmlformats.org/drawingml/2006/main">
          <a:off x="2695575" y="2452689"/>
          <a:ext cx="0" cy="190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0.37273</cdr:x>
      <cdr:y>0.6</cdr:y>
    </cdr:from>
    <cdr:to>
      <cdr:x>0.4303</cdr:x>
      <cdr:y>0.6</cdr:y>
    </cdr:to>
    <cdr:cxnSp macro="">
      <cdr:nvCxnSpPr>
        <cdr:cNvPr id="11" name="Прямая соединительная линия 10">
          <a:extLst xmlns:a="http://schemas.openxmlformats.org/drawingml/2006/main">
            <a:ext uri="{FF2B5EF4-FFF2-40B4-BE49-F238E27FC236}">
              <a16:creationId xmlns:a16="http://schemas.microsoft.com/office/drawing/2014/main" id="{C5372D76-39A4-4D8F-9404-7C049D1A5566}"/>
            </a:ext>
          </a:extLst>
        </cdr:cNvPr>
        <cdr:cNvCxnSpPr/>
      </cdr:nvCxnSpPr>
      <cdr:spPr>
        <a:xfrm xmlns:a="http://schemas.openxmlformats.org/drawingml/2006/main" flipH="1">
          <a:off x="2343150" y="2643189"/>
          <a:ext cx="361950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0.37424</cdr:x>
      <cdr:y>0.6</cdr:y>
    </cdr:from>
    <cdr:to>
      <cdr:x>0.37424</cdr:x>
      <cdr:y>0.61081</cdr:y>
    </cdr:to>
    <cdr:cxnSp macro="">
      <cdr:nvCxnSpPr>
        <cdr:cNvPr id="13" name="Прямая соединительная линия 12">
          <a:extLst xmlns:a="http://schemas.openxmlformats.org/drawingml/2006/main">
            <a:ext uri="{FF2B5EF4-FFF2-40B4-BE49-F238E27FC236}">
              <a16:creationId xmlns:a16="http://schemas.microsoft.com/office/drawing/2014/main" id="{0303799D-AC9A-40BF-8921-D8F5B3014A13}"/>
            </a:ext>
          </a:extLst>
        </cdr:cNvPr>
        <cdr:cNvCxnSpPr/>
      </cdr:nvCxnSpPr>
      <cdr:spPr>
        <a:xfrm xmlns:a="http://schemas.openxmlformats.org/drawingml/2006/main">
          <a:off x="2352675" y="2643189"/>
          <a:ext cx="0" cy="476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409574</xdr:colOff>
      <xdr:row>2</xdr:row>
      <xdr:rowOff>138111</xdr:rowOff>
    </xdr:from>
    <xdr:to>
      <xdr:col>27</xdr:col>
      <xdr:colOff>361949</xdr:colOff>
      <xdr:row>30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420EDC-61AD-4FA3-8987-22915ED75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0.45224</cdr:x>
      <cdr:y>0.16083</cdr:y>
    </cdr:from>
    <cdr:to>
      <cdr:x>0.94075</cdr:x>
      <cdr:y>0.86703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4BF7C6D2-D38C-468A-9690-35760B5E28CF}"/>
            </a:ext>
          </a:extLst>
        </cdr:cNvPr>
        <cdr:cNvCxnSpPr/>
      </cdr:nvCxnSpPr>
      <cdr:spPr>
        <a:xfrm xmlns:a="http://schemas.openxmlformats.org/drawingml/2006/main" flipH="1" flipV="1">
          <a:off x="3562352" y="852490"/>
          <a:ext cx="3848099" cy="374332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0.66385</cdr:x>
      <cdr:y>0.46631</cdr:y>
    </cdr:from>
    <cdr:to>
      <cdr:x>0.66385</cdr:x>
      <cdr:y>0.47529</cdr:y>
    </cdr:to>
    <cdr:cxnSp macro="">
      <cdr:nvCxnSpPr>
        <cdr:cNvPr id="11" name="Прямая соединительная линия 10">
          <a:extLst xmlns:a="http://schemas.openxmlformats.org/drawingml/2006/main">
            <a:ext uri="{FF2B5EF4-FFF2-40B4-BE49-F238E27FC236}">
              <a16:creationId xmlns:a16="http://schemas.microsoft.com/office/drawing/2014/main" id="{6731B4CA-5255-4FB5-82A5-0457A920DAD6}"/>
            </a:ext>
          </a:extLst>
        </cdr:cNvPr>
        <cdr:cNvCxnSpPr/>
      </cdr:nvCxnSpPr>
      <cdr:spPr>
        <a:xfrm xmlns:a="http://schemas.openxmlformats.org/drawingml/2006/main">
          <a:off x="5229226" y="2471739"/>
          <a:ext cx="0" cy="476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37"/>
  <sheetViews>
    <sheetView zoomScaleNormal="100" workbookViewId="0">
      <selection activeCell="O1" sqref="O1:P25"/>
    </sheetView>
  </sheetViews>
  <sheetFormatPr defaultRowHeight="15" x14ac:dyDescent="0.25"/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tr">
        <f>IF((H2/2)&lt;0.001,"дальше","стоп")</f>
        <v>стоп</v>
      </c>
      <c r="O1" t="s">
        <v>9</v>
      </c>
      <c r="P1" t="s">
        <v>19</v>
      </c>
    </row>
    <row r="2" spans="1:16" x14ac:dyDescent="0.25">
      <c r="A2">
        <v>1</v>
      </c>
      <c r="B2">
        <v>2</v>
      </c>
      <c r="C2">
        <v>3</v>
      </c>
      <c r="D2">
        <f>(B2+C2)/2</f>
        <v>2.5</v>
      </c>
      <c r="E2">
        <f t="shared" ref="E2:G3" si="0">2*LN(B2)-B2^2+5</f>
        <v>2.3862943611198908</v>
      </c>
      <c r="F2">
        <f t="shared" si="0"/>
        <v>-1.80277542266378</v>
      </c>
      <c r="G2">
        <f t="shared" si="0"/>
        <v>0.58258146374831021</v>
      </c>
      <c r="H2">
        <f>C2-B2</f>
        <v>1</v>
      </c>
      <c r="I2" t="str">
        <f>IF((H2/2)&gt;0.001,"дальше","стоп")</f>
        <v>дальше</v>
      </c>
      <c r="O2">
        <v>1</v>
      </c>
      <c r="P2">
        <f>2*LN(O2)-O2^2+5</f>
        <v>4</v>
      </c>
    </row>
    <row r="3" spans="1:16" x14ac:dyDescent="0.25">
      <c r="A3">
        <f>A2+1</f>
        <v>2</v>
      </c>
      <c r="B3">
        <f>IF(E2*G2&gt;0,D2,B2)</f>
        <v>2.5</v>
      </c>
      <c r="C3">
        <f>IF(E2*G2&gt;0,C2,D2)</f>
        <v>3</v>
      </c>
      <c r="D3">
        <f>(B3+C3)/2</f>
        <v>2.75</v>
      </c>
      <c r="E3">
        <f t="shared" si="0"/>
        <v>0.58258146374831021</v>
      </c>
      <c r="F3">
        <f t="shared" si="0"/>
        <v>-1.80277542266378</v>
      </c>
      <c r="G3">
        <f t="shared" si="0"/>
        <v>-0.53929817664304025</v>
      </c>
      <c r="H3">
        <f>C3-B3</f>
        <v>0.5</v>
      </c>
      <c r="I3" t="str">
        <f t="shared" ref="I3:I16" si="1">IF((H3/2)&gt;0.001,"дальше","стоп")</f>
        <v>дальше</v>
      </c>
      <c r="O3">
        <f>O2+0.1</f>
        <v>1.1000000000000001</v>
      </c>
      <c r="P3">
        <f t="shared" ref="P3:P25" si="2">2*LN(O3)-O3^2+5</f>
        <v>3.9806203596086496</v>
      </c>
    </row>
    <row r="4" spans="1:16" x14ac:dyDescent="0.25">
      <c r="A4">
        <f t="shared" ref="A4:A16" si="3">A3+1</f>
        <v>3</v>
      </c>
      <c r="B4">
        <f t="shared" ref="B4:B8" si="4">IF(E3*G3&gt;0,D3,B3)</f>
        <v>2.5</v>
      </c>
      <c r="C4">
        <f t="shared" ref="C4:C8" si="5">IF(E3*G3&gt;0,C3,D3)</f>
        <v>2.75</v>
      </c>
      <c r="D4">
        <f t="shared" ref="D4:D8" si="6">(B4+C4)/2</f>
        <v>2.625</v>
      </c>
      <c r="E4">
        <f t="shared" ref="E4:E8" si="7">2*LN(B4)-B4^2+5</f>
        <v>0.58258146374831021</v>
      </c>
      <c r="F4">
        <f t="shared" ref="F4:F8" si="8">2*LN(C4)-C4^2+5</f>
        <v>-0.53929817664304025</v>
      </c>
      <c r="G4">
        <f t="shared" ref="G4:G8" si="9">2*LN(D4)-D4^2+5</f>
        <v>3.9536792087174533E-2</v>
      </c>
      <c r="H4">
        <f t="shared" ref="H4:H16" si="10">C4-B4</f>
        <v>0.25</v>
      </c>
      <c r="I4" t="str">
        <f t="shared" si="1"/>
        <v>дальше</v>
      </c>
      <c r="O4">
        <f t="shared" ref="O4:O25" si="11">O3+0.1</f>
        <v>1.2000000000000002</v>
      </c>
      <c r="P4">
        <f t="shared" si="2"/>
        <v>3.9246431135879094</v>
      </c>
    </row>
    <row r="5" spans="1:16" x14ac:dyDescent="0.25">
      <c r="A5">
        <f t="shared" si="3"/>
        <v>4</v>
      </c>
      <c r="B5">
        <f t="shared" si="4"/>
        <v>2.625</v>
      </c>
      <c r="C5">
        <f t="shared" si="5"/>
        <v>2.75</v>
      </c>
      <c r="D5">
        <f t="shared" si="6"/>
        <v>2.6875</v>
      </c>
      <c r="E5">
        <f t="shared" si="7"/>
        <v>3.9536792087174533E-2</v>
      </c>
      <c r="F5">
        <f t="shared" si="8"/>
        <v>-0.53929817664304025</v>
      </c>
      <c r="G5">
        <f t="shared" si="9"/>
        <v>-0.24543346309243752</v>
      </c>
      <c r="H5">
        <f t="shared" si="10"/>
        <v>0.125</v>
      </c>
      <c r="I5" t="str">
        <f t="shared" si="1"/>
        <v>дальше</v>
      </c>
      <c r="O5">
        <f t="shared" si="11"/>
        <v>1.3000000000000003</v>
      </c>
      <c r="P5">
        <f t="shared" si="2"/>
        <v>3.8347285289349822</v>
      </c>
    </row>
    <row r="6" spans="1:16" x14ac:dyDescent="0.25">
      <c r="A6">
        <f t="shared" si="3"/>
        <v>5</v>
      </c>
      <c r="B6">
        <f t="shared" si="4"/>
        <v>2.625</v>
      </c>
      <c r="C6">
        <f t="shared" si="5"/>
        <v>2.6875</v>
      </c>
      <c r="D6">
        <f t="shared" si="6"/>
        <v>2.65625</v>
      </c>
      <c r="E6">
        <f t="shared" si="7"/>
        <v>3.9536792087174533E-2</v>
      </c>
      <c r="F6">
        <f t="shared" si="8"/>
        <v>-0.24543346309243752</v>
      </c>
      <c r="G6">
        <f t="shared" si="9"/>
        <v>-0.10183335511882063</v>
      </c>
      <c r="H6">
        <f t="shared" si="10"/>
        <v>6.25E-2</v>
      </c>
      <c r="I6" t="str">
        <f t="shared" si="1"/>
        <v>дальше</v>
      </c>
      <c r="O6">
        <f t="shared" si="11"/>
        <v>1.4000000000000004</v>
      </c>
      <c r="P6">
        <f t="shared" si="2"/>
        <v>3.712944473242425</v>
      </c>
    </row>
    <row r="7" spans="1:16" x14ac:dyDescent="0.25">
      <c r="A7">
        <f t="shared" si="3"/>
        <v>6</v>
      </c>
      <c r="B7">
        <f t="shared" si="4"/>
        <v>2.625</v>
      </c>
      <c r="C7">
        <f t="shared" si="5"/>
        <v>2.65625</v>
      </c>
      <c r="D7">
        <f t="shared" si="6"/>
        <v>2.640625</v>
      </c>
      <c r="E7">
        <f t="shared" si="7"/>
        <v>3.9536792087174533E-2</v>
      </c>
      <c r="F7">
        <f t="shared" si="8"/>
        <v>-0.10183335511882063</v>
      </c>
      <c r="G7">
        <f t="shared" si="9"/>
        <v>-3.0869127498196924E-2</v>
      </c>
      <c r="H7">
        <f t="shared" si="10"/>
        <v>3.125E-2</v>
      </c>
      <c r="I7" t="str">
        <f t="shared" si="1"/>
        <v>дальше</v>
      </c>
      <c r="O7">
        <f t="shared" si="11"/>
        <v>1.5000000000000004</v>
      </c>
      <c r="P7">
        <f t="shared" si="2"/>
        <v>3.5609302162163279</v>
      </c>
    </row>
    <row r="8" spans="1:16" x14ac:dyDescent="0.25">
      <c r="A8">
        <f t="shared" si="3"/>
        <v>7</v>
      </c>
      <c r="B8">
        <f t="shared" si="4"/>
        <v>2.625</v>
      </c>
      <c r="C8">
        <f t="shared" si="5"/>
        <v>2.640625</v>
      </c>
      <c r="D8">
        <f t="shared" si="6"/>
        <v>2.6328125</v>
      </c>
      <c r="E8">
        <f t="shared" si="7"/>
        <v>3.9536792087174533E-2</v>
      </c>
      <c r="F8">
        <f t="shared" si="8"/>
        <v>-3.0869127498196924E-2</v>
      </c>
      <c r="G8">
        <f t="shared" si="9"/>
        <v>4.4036727092393591E-3</v>
      </c>
      <c r="H8">
        <f t="shared" si="10"/>
        <v>1.5625E-2</v>
      </c>
      <c r="I8" t="str">
        <f t="shared" si="1"/>
        <v>дальше</v>
      </c>
      <c r="O8">
        <f t="shared" si="11"/>
        <v>1.6000000000000005</v>
      </c>
      <c r="P8">
        <f t="shared" si="2"/>
        <v>3.38000725849147</v>
      </c>
    </row>
    <row r="9" spans="1:16" x14ac:dyDescent="0.25">
      <c r="A9">
        <f t="shared" si="3"/>
        <v>8</v>
      </c>
      <c r="B9">
        <f t="shared" ref="B9:B16" si="12">IF(E8*G8&gt;0,D8,B8)</f>
        <v>2.6328125</v>
      </c>
      <c r="C9">
        <f t="shared" ref="C9:C16" si="13">IF(E8*G8&gt;0,C8,D8)</f>
        <v>2.640625</v>
      </c>
      <c r="D9">
        <f t="shared" ref="D9:D16" si="14">(B9+C9)/2</f>
        <v>2.63671875</v>
      </c>
      <c r="E9">
        <f t="shared" ref="E9:E16" si="15">2*LN(B9)-B9^2+5</f>
        <v>4.4036727092393591E-3</v>
      </c>
      <c r="F9">
        <f t="shared" ref="F9:F16" si="16">2*LN(C9)-C9^2+5</f>
        <v>-3.0869127498196924E-2</v>
      </c>
      <c r="G9">
        <f t="shared" ref="G9:G16" si="17">2*LN(D9)-D9^2+5</f>
        <v>-1.3215273815627704E-2</v>
      </c>
      <c r="H9">
        <f t="shared" si="10"/>
        <v>7.8125E-3</v>
      </c>
      <c r="I9" t="str">
        <f t="shared" si="1"/>
        <v>дальше</v>
      </c>
      <c r="O9">
        <f t="shared" si="11"/>
        <v>1.7000000000000006</v>
      </c>
      <c r="P9">
        <f t="shared" si="2"/>
        <v>3.1712565021243395</v>
      </c>
    </row>
    <row r="10" spans="1:16" x14ac:dyDescent="0.25">
      <c r="A10">
        <f t="shared" si="3"/>
        <v>9</v>
      </c>
      <c r="B10">
        <f t="shared" si="12"/>
        <v>2.6328125</v>
      </c>
      <c r="C10">
        <f t="shared" si="13"/>
        <v>2.63671875</v>
      </c>
      <c r="D10">
        <f t="shared" si="14"/>
        <v>2.634765625</v>
      </c>
      <c r="E10">
        <f t="shared" si="15"/>
        <v>4.4036727092393591E-3</v>
      </c>
      <c r="F10">
        <f t="shared" si="16"/>
        <v>-1.3215273815627704E-2</v>
      </c>
      <c r="G10">
        <f t="shared" si="17"/>
        <v>-4.4014363451445604E-3</v>
      </c>
      <c r="H10">
        <f t="shared" si="10"/>
        <v>3.90625E-3</v>
      </c>
      <c r="I10" t="str">
        <f t="shared" si="1"/>
        <v>дальше</v>
      </c>
      <c r="O10">
        <f t="shared" si="11"/>
        <v>1.8000000000000007</v>
      </c>
      <c r="P10">
        <f t="shared" si="2"/>
        <v>2.9355733298042361</v>
      </c>
    </row>
    <row r="11" spans="1:16" x14ac:dyDescent="0.25">
      <c r="A11" s="4">
        <f t="shared" si="3"/>
        <v>10</v>
      </c>
      <c r="B11" s="4">
        <f t="shared" si="12"/>
        <v>2.6328125</v>
      </c>
      <c r="C11" s="4">
        <f t="shared" si="13"/>
        <v>2.634765625</v>
      </c>
      <c r="D11" s="4">
        <f t="shared" si="14"/>
        <v>2.6337890625</v>
      </c>
      <c r="E11" s="4">
        <f t="shared" si="15"/>
        <v>4.4036727092393591E-3</v>
      </c>
      <c r="F11" s="4">
        <f t="shared" si="16"/>
        <v>-4.4014363451445604E-3</v>
      </c>
      <c r="G11" s="4">
        <f t="shared" si="17"/>
        <v>2.2093359248742672E-6</v>
      </c>
      <c r="H11" s="4">
        <f t="shared" si="10"/>
        <v>1.953125E-3</v>
      </c>
      <c r="I11" s="4" t="str">
        <f t="shared" si="1"/>
        <v>стоп</v>
      </c>
      <c r="O11">
        <f t="shared" si="11"/>
        <v>1.9000000000000008</v>
      </c>
      <c r="P11">
        <f t="shared" si="2"/>
        <v>2.6737077723447875</v>
      </c>
    </row>
    <row r="12" spans="1:16" x14ac:dyDescent="0.25">
      <c r="A12">
        <f t="shared" si="3"/>
        <v>11</v>
      </c>
      <c r="B12">
        <f t="shared" si="12"/>
        <v>2.6337890625</v>
      </c>
      <c r="C12">
        <f t="shared" si="13"/>
        <v>2.634765625</v>
      </c>
      <c r="D12">
        <f t="shared" si="14"/>
        <v>2.63427734375</v>
      </c>
      <c r="E12">
        <f t="shared" si="15"/>
        <v>2.2093359248742672E-6</v>
      </c>
      <c r="F12">
        <f t="shared" si="16"/>
        <v>-4.4014363451445604E-3</v>
      </c>
      <c r="G12">
        <f t="shared" si="17"/>
        <v>-2.199340728882504E-3</v>
      </c>
      <c r="H12">
        <f t="shared" si="10"/>
        <v>9.765625E-4</v>
      </c>
      <c r="I12" t="str">
        <f t="shared" si="1"/>
        <v>стоп</v>
      </c>
      <c r="O12">
        <f t="shared" si="11"/>
        <v>2.0000000000000009</v>
      </c>
      <c r="P12">
        <f t="shared" si="2"/>
        <v>2.3862943611198881</v>
      </c>
    </row>
    <row r="13" spans="1:16" x14ac:dyDescent="0.25">
      <c r="A13">
        <f t="shared" si="3"/>
        <v>12</v>
      </c>
      <c r="B13">
        <f t="shared" si="12"/>
        <v>2.6337890625</v>
      </c>
      <c r="C13">
        <f t="shared" si="13"/>
        <v>2.63427734375</v>
      </c>
      <c r="D13">
        <f t="shared" si="14"/>
        <v>2.634033203125</v>
      </c>
      <c r="E13">
        <f t="shared" si="15"/>
        <v>2.2093359248742672E-6</v>
      </c>
      <c r="F13">
        <f t="shared" si="16"/>
        <v>-2.199340728882504E-3</v>
      </c>
      <c r="G13">
        <f t="shared" si="17"/>
        <v>-1.0984975009549203E-3</v>
      </c>
      <c r="H13">
        <f t="shared" si="10"/>
        <v>4.8828125E-4</v>
      </c>
      <c r="I13" t="str">
        <f t="shared" si="1"/>
        <v>стоп</v>
      </c>
      <c r="O13">
        <f t="shared" si="11"/>
        <v>2.100000000000001</v>
      </c>
      <c r="P13">
        <f t="shared" si="2"/>
        <v>2.0738746894587519</v>
      </c>
    </row>
    <row r="14" spans="1:16" x14ac:dyDescent="0.25">
      <c r="A14">
        <f t="shared" si="3"/>
        <v>13</v>
      </c>
      <c r="B14">
        <f t="shared" si="12"/>
        <v>2.6337890625</v>
      </c>
      <c r="C14">
        <f t="shared" si="13"/>
        <v>2.634033203125</v>
      </c>
      <c r="D14">
        <f t="shared" si="14"/>
        <v>2.6339111328125</v>
      </c>
      <c r="E14">
        <f t="shared" si="15"/>
        <v>2.2093359248742672E-6</v>
      </c>
      <c r="F14">
        <f t="shared" si="16"/>
        <v>-1.0984975009549203E-3</v>
      </c>
      <c r="G14">
        <f t="shared" si="17"/>
        <v>-5.481270334346533E-4</v>
      </c>
      <c r="H14">
        <f t="shared" si="10"/>
        <v>2.44140625E-4</v>
      </c>
      <c r="I14" t="str">
        <f t="shared" si="1"/>
        <v>стоп</v>
      </c>
      <c r="O14">
        <f t="shared" si="11"/>
        <v>2.2000000000000011</v>
      </c>
      <c r="P14">
        <f t="shared" si="2"/>
        <v>1.7369147207285369</v>
      </c>
    </row>
    <row r="15" spans="1:16" x14ac:dyDescent="0.25">
      <c r="A15">
        <f t="shared" si="3"/>
        <v>14</v>
      </c>
      <c r="B15">
        <f t="shared" si="12"/>
        <v>2.6337890625</v>
      </c>
      <c r="C15">
        <f t="shared" si="13"/>
        <v>2.6339111328125</v>
      </c>
      <c r="D15">
        <f t="shared" si="14"/>
        <v>2.63385009765625</v>
      </c>
      <c r="E15">
        <f t="shared" si="15"/>
        <v>2.2093359248742672E-6</v>
      </c>
      <c r="F15">
        <f t="shared" si="16"/>
        <v>-5.481270334346533E-4</v>
      </c>
      <c r="G15">
        <f t="shared" si="17"/>
        <v>-2.7295458646037218E-4</v>
      </c>
      <c r="H15">
        <f t="shared" si="10"/>
        <v>1.220703125E-4</v>
      </c>
      <c r="I15" t="str">
        <f t="shared" si="1"/>
        <v>стоп</v>
      </c>
      <c r="O15">
        <f t="shared" si="11"/>
        <v>2.3000000000000012</v>
      </c>
      <c r="P15">
        <f t="shared" si="2"/>
        <v>1.375818245870204</v>
      </c>
    </row>
    <row r="16" spans="1:16" x14ac:dyDescent="0.25">
      <c r="A16">
        <f t="shared" si="3"/>
        <v>15</v>
      </c>
      <c r="B16">
        <f t="shared" si="12"/>
        <v>2.6337890625</v>
      </c>
      <c r="C16">
        <f t="shared" si="13"/>
        <v>2.63385009765625</v>
      </c>
      <c r="D16">
        <f t="shared" si="14"/>
        <v>2.633819580078125</v>
      </c>
      <c r="E16">
        <f t="shared" si="15"/>
        <v>2.2093359248742672E-6</v>
      </c>
      <c r="F16">
        <f t="shared" si="16"/>
        <v>-2.7295458646037218E-4</v>
      </c>
      <c r="G16">
        <f t="shared" si="17"/>
        <v>-1.3537155969078896E-4</v>
      </c>
      <c r="H16">
        <f t="shared" si="10"/>
        <v>6.103515625E-5</v>
      </c>
      <c r="I16" t="str">
        <f t="shared" si="1"/>
        <v>стоп</v>
      </c>
      <c r="O16">
        <f t="shared" si="11"/>
        <v>2.4000000000000012</v>
      </c>
      <c r="P16">
        <f t="shared" si="2"/>
        <v>0.99093747470779459</v>
      </c>
    </row>
    <row r="17" spans="7:16" x14ac:dyDescent="0.25">
      <c r="O17">
        <f t="shared" si="11"/>
        <v>2.5000000000000013</v>
      </c>
      <c r="P17">
        <f t="shared" si="2"/>
        <v>0.582581463748304</v>
      </c>
    </row>
    <row r="18" spans="7:16" x14ac:dyDescent="0.25">
      <c r="O18">
        <f t="shared" si="11"/>
        <v>2.6000000000000014</v>
      </c>
      <c r="P18">
        <f t="shared" si="2"/>
        <v>0.15102289005486647</v>
      </c>
    </row>
    <row r="19" spans="7:16" x14ac:dyDescent="0.25">
      <c r="O19">
        <f t="shared" si="11"/>
        <v>2.7000000000000015</v>
      </c>
      <c r="P19">
        <f t="shared" si="2"/>
        <v>-0.30349645397943981</v>
      </c>
    </row>
    <row r="20" spans="7:16" x14ac:dyDescent="0.25">
      <c r="O20">
        <f t="shared" si="11"/>
        <v>2.8000000000000016</v>
      </c>
      <c r="P20">
        <f t="shared" si="2"/>
        <v>-0.78076116563769116</v>
      </c>
    </row>
    <row r="21" spans="7:16" x14ac:dyDescent="0.25">
      <c r="O21">
        <f t="shared" si="11"/>
        <v>2.9000000000000017</v>
      </c>
      <c r="P21">
        <f t="shared" si="2"/>
        <v>-1.2805785260151517</v>
      </c>
    </row>
    <row r="22" spans="7:16" x14ac:dyDescent="0.25">
      <c r="O22">
        <f t="shared" si="11"/>
        <v>3.0000000000000018</v>
      </c>
      <c r="P22">
        <f t="shared" si="2"/>
        <v>-1.8027754226637906</v>
      </c>
    </row>
    <row r="23" spans="7:16" x14ac:dyDescent="0.25">
      <c r="O23">
        <f t="shared" si="11"/>
        <v>3.1000000000000019</v>
      </c>
      <c r="P23">
        <f t="shared" si="2"/>
        <v>-2.3471957770178093</v>
      </c>
    </row>
    <row r="24" spans="7:16" x14ac:dyDescent="0.25">
      <c r="G24" t="s">
        <v>9</v>
      </c>
      <c r="H24" t="s">
        <v>19</v>
      </c>
      <c r="O24">
        <f t="shared" si="11"/>
        <v>3.200000000000002</v>
      </c>
      <c r="P24">
        <f t="shared" si="2"/>
        <v>-2.9136983803886496</v>
      </c>
    </row>
    <row r="25" spans="7:16" x14ac:dyDescent="0.25">
      <c r="G25">
        <v>0.01</v>
      </c>
      <c r="H25">
        <f>2*LN(G25)-G25^2+5</f>
        <v>-4.2104403719761816</v>
      </c>
      <c r="O25">
        <f t="shared" si="11"/>
        <v>3.300000000000002</v>
      </c>
      <c r="P25">
        <f t="shared" si="2"/>
        <v>-3.5021550630551417</v>
      </c>
    </row>
    <row r="26" spans="7:16" x14ac:dyDescent="0.25">
      <c r="G26">
        <v>0.05</v>
      </c>
      <c r="H26">
        <f t="shared" ref="H26:H37" si="18">2*LN(G26)-G26^2+5</f>
        <v>-0.9939645471079821</v>
      </c>
    </row>
    <row r="27" spans="7:16" x14ac:dyDescent="0.25">
      <c r="G27">
        <v>0.1</v>
      </c>
      <c r="H27">
        <f t="shared" si="18"/>
        <v>0.3848298140119093</v>
      </c>
    </row>
    <row r="28" spans="7:16" x14ac:dyDescent="0.25">
      <c r="G28">
        <f>0.3</f>
        <v>0.3</v>
      </c>
      <c r="H28">
        <f t="shared" si="18"/>
        <v>2.5020543913481279</v>
      </c>
    </row>
    <row r="29" spans="7:16" x14ac:dyDescent="0.25">
      <c r="G29">
        <f t="shared" ref="G27:G37" si="19">G28+0.3</f>
        <v>0.6</v>
      </c>
      <c r="H29">
        <f t="shared" si="18"/>
        <v>3.6183487524680187</v>
      </c>
    </row>
    <row r="30" spans="7:16" x14ac:dyDescent="0.25">
      <c r="G30">
        <f t="shared" si="19"/>
        <v>0.89999999999999991</v>
      </c>
      <c r="H30">
        <f t="shared" si="18"/>
        <v>3.9792789686843473</v>
      </c>
    </row>
    <row r="31" spans="7:16" x14ac:dyDescent="0.25">
      <c r="G31">
        <f t="shared" si="19"/>
        <v>1.2</v>
      </c>
      <c r="H31">
        <f t="shared" si="18"/>
        <v>3.9246431135879094</v>
      </c>
    </row>
    <row r="32" spans="7:16" x14ac:dyDescent="0.25">
      <c r="G32">
        <f t="shared" si="19"/>
        <v>1.5</v>
      </c>
      <c r="H32">
        <f t="shared" si="18"/>
        <v>3.5609302162163288</v>
      </c>
    </row>
    <row r="33" spans="7:8" x14ac:dyDescent="0.25">
      <c r="G33">
        <f t="shared" si="19"/>
        <v>1.8</v>
      </c>
      <c r="H33">
        <f t="shared" si="18"/>
        <v>2.9355733298042379</v>
      </c>
    </row>
    <row r="34" spans="7:8" x14ac:dyDescent="0.25">
      <c r="G34">
        <f t="shared" si="19"/>
        <v>2.1</v>
      </c>
      <c r="H34">
        <f t="shared" si="18"/>
        <v>2.0738746894587545</v>
      </c>
    </row>
    <row r="35" spans="7:8" x14ac:dyDescent="0.25">
      <c r="G35">
        <f t="shared" si="19"/>
        <v>2.4</v>
      </c>
      <c r="H35">
        <f t="shared" si="18"/>
        <v>0.99093747470779991</v>
      </c>
    </row>
    <row r="36" spans="7:8" x14ac:dyDescent="0.25">
      <c r="G36">
        <f>G35+0.3</f>
        <v>2.6999999999999997</v>
      </c>
      <c r="H36">
        <f t="shared" si="18"/>
        <v>-0.30349645397943181</v>
      </c>
    </row>
    <row r="37" spans="7:8" x14ac:dyDescent="0.25">
      <c r="G37">
        <f t="shared" si="19"/>
        <v>2.9999999999999996</v>
      </c>
      <c r="H37">
        <f t="shared" si="18"/>
        <v>-1.8027754226637773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1EBB-0356-4F40-86DA-B806848B2662}">
  <sheetPr codeName="Лист2"/>
  <dimension ref="A1:O38"/>
  <sheetViews>
    <sheetView topLeftCell="A6" zoomScaleNormal="100" workbookViewId="0">
      <selection activeCell="N2" sqref="N2:O38"/>
    </sheetView>
  </sheetViews>
  <sheetFormatPr defaultRowHeight="15" x14ac:dyDescent="0.25"/>
  <cols>
    <col min="1" max="1" width="9.5703125" customWidth="1"/>
    <col min="8" max="8" width="12.42578125" customWidth="1"/>
    <col min="14" max="14" width="9" customWidth="1"/>
    <col min="15" max="15" width="9.28515625" customWidth="1"/>
  </cols>
  <sheetData>
    <row r="1" spans="1:15" x14ac:dyDescent="0.25">
      <c r="A1" s="5" t="s">
        <v>8</v>
      </c>
      <c r="B1" t="s">
        <v>1</v>
      </c>
      <c r="C1" t="s">
        <v>2</v>
      </c>
      <c r="D1" t="s">
        <v>4</v>
      </c>
      <c r="E1" t="s">
        <v>5</v>
      </c>
      <c r="F1" t="s">
        <v>9</v>
      </c>
      <c r="G1" t="s">
        <v>10</v>
      </c>
      <c r="H1" s="6" t="s">
        <v>11</v>
      </c>
      <c r="I1" s="8"/>
      <c r="N1" t="s">
        <v>9</v>
      </c>
      <c r="O1" t="s">
        <v>19</v>
      </c>
    </row>
    <row r="2" spans="1:15" x14ac:dyDescent="0.25">
      <c r="A2" s="5">
        <v>1</v>
      </c>
      <c r="B2">
        <v>2</v>
      </c>
      <c r="C2">
        <v>3</v>
      </c>
      <c r="D2">
        <f>2*LN(B2)-B2^2+5</f>
        <v>2.3862943611198908</v>
      </c>
      <c r="E2">
        <f>2*LN(C2)-C2^2+5</f>
        <v>-1.80277542266378</v>
      </c>
      <c r="F2">
        <f>B2-(D2/(E2-D2))*(C2-B2)</f>
        <v>2.5696477939702715</v>
      </c>
      <c r="G2">
        <f>2*LN(F2)-F2^2+5</f>
        <v>0.28444790367937678</v>
      </c>
      <c r="H2" s="7" t="s">
        <v>12</v>
      </c>
      <c r="I2" s="9" t="str">
        <f>IF(H2&gt;0.001,"дальше","стоп")</f>
        <v>дальше</v>
      </c>
      <c r="N2">
        <v>0.1</v>
      </c>
      <c r="O2">
        <f>2*LN(N2)-N2^2+5</f>
        <v>0.3848298140119093</v>
      </c>
    </row>
    <row r="3" spans="1:15" x14ac:dyDescent="0.25">
      <c r="A3" s="5">
        <f>A2+1</f>
        <v>2</v>
      </c>
      <c r="B3">
        <f>IF(F2&gt;0,F2,B2)</f>
        <v>2.5696477939702715</v>
      </c>
      <c r="C3">
        <f>IF(F2&lt;0,F2,C2)</f>
        <v>3</v>
      </c>
      <c r="D3">
        <f>2*LN(B3)-B3^2+5</f>
        <v>0.28444790367937678</v>
      </c>
      <c r="E3">
        <f>2*LN(C3)-C3^2+5</f>
        <v>-1.80277542266378</v>
      </c>
      <c r="F3">
        <f>B3-(D3/(E3-D3))*(C3-B3)</f>
        <v>2.6282964212177546</v>
      </c>
      <c r="G3">
        <f>2*LN(F3)-F3^2+5</f>
        <v>2.4729697660972327E-2</v>
      </c>
      <c r="H3">
        <f>G2-G3</f>
        <v>0.25971820601840445</v>
      </c>
      <c r="I3" s="9" t="str">
        <f>IF(H3&gt;0.001,"дальше","стоп")</f>
        <v>дальше</v>
      </c>
      <c r="N3">
        <f>N2+0.1</f>
        <v>0.2</v>
      </c>
      <c r="O3">
        <f t="shared" ref="O3:O38" si="0">2*LN(N3)-N3^2+5</f>
        <v>1.7411241751317994</v>
      </c>
    </row>
    <row r="4" spans="1:15" x14ac:dyDescent="0.25">
      <c r="A4" s="5">
        <f t="shared" ref="A4:A11" si="1">A3+1</f>
        <v>3</v>
      </c>
      <c r="B4">
        <f t="shared" ref="B4:B7" si="2">IF(F3&gt;0,F3,B3)</f>
        <v>2.6282964212177546</v>
      </c>
      <c r="C4">
        <f t="shared" ref="C4:C7" si="3">IF(F3&lt;0,F3,C3)</f>
        <v>3</v>
      </c>
      <c r="D4">
        <f t="shared" ref="D4:D7" si="4">2*LN(B4)-B4^2+5</f>
        <v>2.4729697660972327E-2</v>
      </c>
      <c r="E4">
        <f t="shared" ref="E4:E7" si="5">2*LN(C4)-C4^2+5</f>
        <v>-1.80277542266378</v>
      </c>
      <c r="F4">
        <f t="shared" ref="F4:F7" si="6">B4-(D4/(E4-D4))*(C4-B4)</f>
        <v>2.6333262933754606</v>
      </c>
      <c r="G4">
        <f t="shared" ref="G4:G7" si="7">2*LN(F4)-F4^2+5</f>
        <v>2.0882274165954229E-3</v>
      </c>
      <c r="H4">
        <f t="shared" ref="H4:H7" si="8">G3-G4</f>
        <v>2.2641470244376904E-2</v>
      </c>
      <c r="I4" s="9" t="str">
        <f t="shared" ref="I4:I7" si="9">IF(H4&gt;0.001,"дальше","стоп")</f>
        <v>дальше</v>
      </c>
      <c r="N4">
        <f t="shared" ref="N4:N51" si="10">N3+0.1</f>
        <v>0.30000000000000004</v>
      </c>
      <c r="O4">
        <f t="shared" si="0"/>
        <v>2.5020543913481283</v>
      </c>
    </row>
    <row r="5" spans="1:15" x14ac:dyDescent="0.25">
      <c r="A5" s="5">
        <f t="shared" si="1"/>
        <v>4</v>
      </c>
      <c r="B5">
        <f t="shared" si="2"/>
        <v>2.6333262933754606</v>
      </c>
      <c r="C5">
        <f t="shared" si="3"/>
        <v>3</v>
      </c>
      <c r="D5">
        <f t="shared" si="4"/>
        <v>2.0882274165954229E-3</v>
      </c>
      <c r="E5">
        <f t="shared" si="5"/>
        <v>-1.80277542266378</v>
      </c>
      <c r="F5">
        <f t="shared" si="6"/>
        <v>2.6337505348892636</v>
      </c>
      <c r="G5">
        <f t="shared" si="7"/>
        <v>1.7589842374121645E-4</v>
      </c>
      <c r="H5">
        <f t="shared" si="8"/>
        <v>1.9123289928542064E-3</v>
      </c>
      <c r="I5" s="9" t="str">
        <f t="shared" si="9"/>
        <v>дальше</v>
      </c>
      <c r="N5">
        <f t="shared" si="10"/>
        <v>0.4</v>
      </c>
      <c r="O5">
        <f t="shared" si="0"/>
        <v>3.0074185362516901</v>
      </c>
    </row>
    <row r="6" spans="1:15" x14ac:dyDescent="0.25">
      <c r="A6" s="13">
        <f t="shared" si="1"/>
        <v>5</v>
      </c>
      <c r="B6" s="4">
        <f t="shared" si="2"/>
        <v>2.6337505348892636</v>
      </c>
      <c r="C6" s="4">
        <f t="shared" si="3"/>
        <v>3</v>
      </c>
      <c r="D6" s="4">
        <f t="shared" si="4"/>
        <v>1.7589842374121645E-4</v>
      </c>
      <c r="E6" s="4">
        <f t="shared" si="5"/>
        <v>-1.80277542266378</v>
      </c>
      <c r="F6" s="4">
        <f t="shared" si="6"/>
        <v>2.6337862666934755</v>
      </c>
      <c r="G6" s="4">
        <f t="shared" si="7"/>
        <v>1.4813426326476531E-5</v>
      </c>
      <c r="H6" s="4">
        <f t="shared" si="8"/>
        <v>1.6108499741473992E-4</v>
      </c>
      <c r="I6" s="14" t="str">
        <f t="shared" si="9"/>
        <v>стоп</v>
      </c>
      <c r="N6">
        <f t="shared" si="10"/>
        <v>0.5</v>
      </c>
      <c r="O6">
        <f t="shared" si="0"/>
        <v>3.3637056388801092</v>
      </c>
    </row>
    <row r="7" spans="1:15" x14ac:dyDescent="0.25">
      <c r="A7" s="5">
        <f t="shared" si="1"/>
        <v>6</v>
      </c>
      <c r="B7">
        <f t="shared" si="2"/>
        <v>2.6337862666934755</v>
      </c>
      <c r="C7">
        <f t="shared" si="3"/>
        <v>3</v>
      </c>
      <c r="D7">
        <f t="shared" si="4"/>
        <v>1.4813426326476531E-5</v>
      </c>
      <c r="E7">
        <f t="shared" si="5"/>
        <v>-1.80277542266378</v>
      </c>
      <c r="F7">
        <f t="shared" si="6"/>
        <v>2.6337892758511963</v>
      </c>
      <c r="G7">
        <f t="shared" si="7"/>
        <v>1.2475026238689679E-6</v>
      </c>
      <c r="H7">
        <f t="shared" si="8"/>
        <v>1.3565923702607563E-5</v>
      </c>
      <c r="I7" s="9" t="str">
        <f t="shared" si="9"/>
        <v>стоп</v>
      </c>
      <c r="N7">
        <f t="shared" si="10"/>
        <v>0.6</v>
      </c>
      <c r="O7">
        <f t="shared" si="0"/>
        <v>3.6183487524680187</v>
      </c>
    </row>
    <row r="8" spans="1:15" x14ac:dyDescent="0.25">
      <c r="A8" s="5">
        <f t="shared" si="1"/>
        <v>7</v>
      </c>
      <c r="I8" s="9"/>
      <c r="N8">
        <f t="shared" si="10"/>
        <v>0.7</v>
      </c>
      <c r="O8">
        <f t="shared" si="0"/>
        <v>3.7966501121225349</v>
      </c>
    </row>
    <row r="9" spans="1:15" x14ac:dyDescent="0.25">
      <c r="A9" s="5">
        <f t="shared" si="1"/>
        <v>8</v>
      </c>
      <c r="I9" s="9"/>
      <c r="N9">
        <f t="shared" si="10"/>
        <v>0.79999999999999993</v>
      </c>
      <c r="O9">
        <f t="shared" si="0"/>
        <v>3.9137128973715805</v>
      </c>
    </row>
    <row r="10" spans="1:15" x14ac:dyDescent="0.25">
      <c r="A10" s="5">
        <f t="shared" si="1"/>
        <v>9</v>
      </c>
      <c r="I10" s="9"/>
      <c r="N10">
        <f t="shared" si="10"/>
        <v>0.89999999999999991</v>
      </c>
      <c r="O10">
        <f t="shared" si="0"/>
        <v>3.9792789686843473</v>
      </c>
    </row>
    <row r="11" spans="1:15" x14ac:dyDescent="0.25">
      <c r="A11" s="5">
        <f t="shared" si="1"/>
        <v>10</v>
      </c>
      <c r="I11" s="9"/>
      <c r="N11">
        <f t="shared" si="10"/>
        <v>0.99999999999999989</v>
      </c>
      <c r="O11">
        <f t="shared" si="0"/>
        <v>4</v>
      </c>
    </row>
    <row r="12" spans="1:15" x14ac:dyDescent="0.25">
      <c r="A12" s="10"/>
      <c r="N12">
        <f t="shared" si="10"/>
        <v>1.0999999999999999</v>
      </c>
      <c r="O12">
        <f t="shared" si="0"/>
        <v>3.9806203596086496</v>
      </c>
    </row>
    <row r="13" spans="1:15" x14ac:dyDescent="0.25">
      <c r="A13" s="10"/>
      <c r="N13">
        <f t="shared" si="10"/>
        <v>1.2</v>
      </c>
      <c r="O13">
        <f t="shared" si="0"/>
        <v>3.9246431135879094</v>
      </c>
    </row>
    <row r="14" spans="1:15" x14ac:dyDescent="0.25">
      <c r="A14" s="10"/>
      <c r="N14">
        <f t="shared" si="10"/>
        <v>1.3</v>
      </c>
      <c r="O14">
        <f t="shared" si="0"/>
        <v>3.8347285289349822</v>
      </c>
    </row>
    <row r="15" spans="1:15" x14ac:dyDescent="0.25">
      <c r="A15" s="10"/>
      <c r="N15">
        <f t="shared" si="10"/>
        <v>1.4000000000000001</v>
      </c>
      <c r="O15">
        <f t="shared" si="0"/>
        <v>3.7129444732424255</v>
      </c>
    </row>
    <row r="16" spans="1:15" x14ac:dyDescent="0.25">
      <c r="N16">
        <f t="shared" si="10"/>
        <v>1.5000000000000002</v>
      </c>
      <c r="O16">
        <f t="shared" si="0"/>
        <v>3.5609302162163283</v>
      </c>
    </row>
    <row r="17" spans="14:15" x14ac:dyDescent="0.25">
      <c r="N17">
        <f t="shared" si="10"/>
        <v>1.6000000000000003</v>
      </c>
      <c r="O17">
        <f t="shared" si="0"/>
        <v>3.3800072584914704</v>
      </c>
    </row>
    <row r="18" spans="14:15" x14ac:dyDescent="0.25">
      <c r="N18">
        <f t="shared" si="10"/>
        <v>1.7000000000000004</v>
      </c>
      <c r="O18">
        <f t="shared" si="0"/>
        <v>3.17125650212434</v>
      </c>
    </row>
    <row r="19" spans="14:15" x14ac:dyDescent="0.25">
      <c r="N19">
        <f t="shared" si="10"/>
        <v>1.8000000000000005</v>
      </c>
      <c r="O19">
        <f t="shared" si="0"/>
        <v>2.935573329804237</v>
      </c>
    </row>
    <row r="20" spans="14:15" x14ac:dyDescent="0.25">
      <c r="N20">
        <f t="shared" si="10"/>
        <v>1.9000000000000006</v>
      </c>
      <c r="O20">
        <f t="shared" si="0"/>
        <v>2.673707772344788</v>
      </c>
    </row>
    <row r="21" spans="14:15" x14ac:dyDescent="0.25">
      <c r="N21">
        <f t="shared" si="10"/>
        <v>2.0000000000000004</v>
      </c>
      <c r="O21">
        <f t="shared" si="0"/>
        <v>2.386294361119889</v>
      </c>
    </row>
    <row r="22" spans="14:15" x14ac:dyDescent="0.25">
      <c r="N22">
        <f t="shared" si="10"/>
        <v>2.1000000000000005</v>
      </c>
      <c r="O22">
        <f t="shared" si="0"/>
        <v>2.0738746894587532</v>
      </c>
    </row>
    <row r="23" spans="14:15" x14ac:dyDescent="0.25">
      <c r="N23">
        <f t="shared" si="10"/>
        <v>2.2000000000000006</v>
      </c>
      <c r="O23">
        <f t="shared" si="0"/>
        <v>1.7369147207285387</v>
      </c>
    </row>
    <row r="24" spans="14:15" x14ac:dyDescent="0.25">
      <c r="N24">
        <f t="shared" si="10"/>
        <v>2.3000000000000007</v>
      </c>
      <c r="O24">
        <f t="shared" si="0"/>
        <v>1.3758182458702048</v>
      </c>
    </row>
    <row r="25" spans="14:15" x14ac:dyDescent="0.25">
      <c r="N25">
        <f t="shared" si="10"/>
        <v>2.4000000000000008</v>
      </c>
      <c r="O25">
        <f t="shared" si="0"/>
        <v>0.99093747470779636</v>
      </c>
    </row>
    <row r="26" spans="14:15" x14ac:dyDescent="0.25">
      <c r="N26">
        <f t="shared" si="10"/>
        <v>2.5000000000000009</v>
      </c>
      <c r="O26">
        <f t="shared" si="0"/>
        <v>0.58258146374830666</v>
      </c>
    </row>
    <row r="27" spans="14:15" x14ac:dyDescent="0.25">
      <c r="N27">
        <f t="shared" si="10"/>
        <v>2.600000000000001</v>
      </c>
      <c r="O27">
        <f t="shared" si="0"/>
        <v>0.15102289005486824</v>
      </c>
    </row>
    <row r="28" spans="14:15" x14ac:dyDescent="0.25">
      <c r="N28">
        <f t="shared" si="10"/>
        <v>2.7000000000000011</v>
      </c>
      <c r="O28">
        <f t="shared" si="0"/>
        <v>-0.30349645397943803</v>
      </c>
    </row>
    <row r="29" spans="14:15" x14ac:dyDescent="0.25">
      <c r="N29">
        <f t="shared" si="10"/>
        <v>2.8000000000000012</v>
      </c>
      <c r="O29">
        <f t="shared" si="0"/>
        <v>-0.78076116563768849</v>
      </c>
    </row>
    <row r="30" spans="14:15" x14ac:dyDescent="0.25">
      <c r="N30">
        <f t="shared" si="10"/>
        <v>2.9000000000000012</v>
      </c>
      <c r="O30">
        <f t="shared" si="0"/>
        <v>-1.2805785260151499</v>
      </c>
    </row>
    <row r="31" spans="14:15" x14ac:dyDescent="0.25">
      <c r="N31">
        <f t="shared" si="10"/>
        <v>3.0000000000000013</v>
      </c>
      <c r="O31">
        <f t="shared" si="0"/>
        <v>-1.8027754226637871</v>
      </c>
    </row>
    <row r="32" spans="14:15" x14ac:dyDescent="0.25">
      <c r="N32">
        <f t="shared" si="10"/>
        <v>3.1000000000000014</v>
      </c>
      <c r="O32">
        <f t="shared" si="0"/>
        <v>-2.3471957770178058</v>
      </c>
    </row>
    <row r="33" spans="14:15" x14ac:dyDescent="0.25">
      <c r="N33">
        <f t="shared" si="10"/>
        <v>3.2000000000000015</v>
      </c>
      <c r="O33">
        <f t="shared" si="0"/>
        <v>-2.9136983803886469</v>
      </c>
    </row>
    <row r="34" spans="14:15" x14ac:dyDescent="0.25">
      <c r="N34">
        <f t="shared" si="10"/>
        <v>3.3000000000000016</v>
      </c>
      <c r="O34">
        <f t="shared" si="0"/>
        <v>-3.5021550630551417</v>
      </c>
    </row>
    <row r="35" spans="14:15" x14ac:dyDescent="0.25">
      <c r="N35">
        <f t="shared" si="10"/>
        <v>3.4000000000000017</v>
      </c>
      <c r="O35">
        <f t="shared" si="0"/>
        <v>-4.1124491367557781</v>
      </c>
    </row>
    <row r="36" spans="14:15" x14ac:dyDescent="0.25">
      <c r="N36">
        <f t="shared" si="10"/>
        <v>3.5000000000000018</v>
      </c>
      <c r="O36">
        <f t="shared" si="0"/>
        <v>-4.7444740630092745</v>
      </c>
    </row>
    <row r="37" spans="14:15" x14ac:dyDescent="0.25">
      <c r="N37">
        <f t="shared" si="10"/>
        <v>3.6000000000000019</v>
      </c>
      <c r="O37">
        <f t="shared" si="0"/>
        <v>-5.3981323090758835</v>
      </c>
    </row>
    <row r="38" spans="14:15" x14ac:dyDescent="0.25">
      <c r="N38">
        <f t="shared" si="10"/>
        <v>3.700000000000002</v>
      </c>
      <c r="O38">
        <f t="shared" si="0"/>
        <v>-6.0733343606996542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C077-CD49-4A33-84BF-6110266C48BD}">
  <dimension ref="A1:M22"/>
  <sheetViews>
    <sheetView zoomScaleNormal="100" workbookViewId="0">
      <selection activeCell="N33" sqref="N33"/>
    </sheetView>
  </sheetViews>
  <sheetFormatPr defaultRowHeight="15" x14ac:dyDescent="0.25"/>
  <cols>
    <col min="4" max="4" width="14.7109375" customWidth="1"/>
  </cols>
  <sheetData>
    <row r="1" spans="1:13" x14ac:dyDescent="0.25">
      <c r="A1" t="s">
        <v>13</v>
      </c>
      <c r="B1" s="9" t="s">
        <v>14</v>
      </c>
      <c r="C1" s="10" t="s">
        <v>15</v>
      </c>
      <c r="D1" s="12" t="s">
        <v>16</v>
      </c>
      <c r="K1" t="s">
        <v>9</v>
      </c>
      <c r="L1" t="s">
        <v>20</v>
      </c>
      <c r="M1" t="s">
        <v>21</v>
      </c>
    </row>
    <row r="2" spans="1:13" x14ac:dyDescent="0.25">
      <c r="A2">
        <v>0</v>
      </c>
      <c r="B2" s="9">
        <v>2.5</v>
      </c>
      <c r="C2" s="10">
        <f>SQRT(2*LN(B2)+5)</f>
        <v>2.6139207072419604</v>
      </c>
      <c r="D2" s="11">
        <f>ABS(C2-B2)</f>
        <v>0.11392070724196035</v>
      </c>
      <c r="E2" t="str">
        <f>IF(D2&gt;0.001,"дальше","стоп")</f>
        <v>дальше</v>
      </c>
      <c r="K2" s="4">
        <v>1.5</v>
      </c>
      <c r="L2" s="4">
        <f>K2</f>
        <v>1.5</v>
      </c>
      <c r="M2" s="17">
        <f>SQRT(2*LN(K2) + 5)</f>
        <v>2.410587110273414</v>
      </c>
    </row>
    <row r="3" spans="1:13" x14ac:dyDescent="0.25">
      <c r="A3">
        <f>A2+1</f>
        <v>1</v>
      </c>
      <c r="B3" s="9">
        <f>C2</f>
        <v>2.6139207072419604</v>
      </c>
      <c r="C3" s="10">
        <f>SQRT(2*LN(B3)+5)</f>
        <v>2.6309128761187006</v>
      </c>
      <c r="D3" s="11">
        <f>ABS(C3-B3)</f>
        <v>1.6992168876740266E-2</v>
      </c>
      <c r="E3" t="str">
        <f>IF(D3&gt;0.001,"дальше","стоп")</f>
        <v>дальше</v>
      </c>
      <c r="K3" s="4">
        <f>K2+0.1</f>
        <v>1.6</v>
      </c>
      <c r="L3" s="4">
        <f t="shared" ref="L3:L22" si="0">K3</f>
        <v>1.6</v>
      </c>
      <c r="M3" s="17">
        <f t="shared" ref="M3:M22" si="1">SQRT(2*LN(K3) + 5)</f>
        <v>2.4372130104878957</v>
      </c>
    </row>
    <row r="4" spans="1:13" x14ac:dyDescent="0.25">
      <c r="A4">
        <f t="shared" ref="A4:A10" si="2">A3+1</f>
        <v>2</v>
      </c>
      <c r="B4" s="9">
        <f t="shared" ref="B4:B6" si="3">C3</f>
        <v>2.6309128761187006</v>
      </c>
      <c r="C4" s="10">
        <f t="shared" ref="C4:C6" si="4">SQRT(2*LN(B4)+5)</f>
        <v>2.6333745981723946</v>
      </c>
      <c r="D4" s="11">
        <f t="shared" ref="D4:D6" si="5">ABS(C4-B4)</f>
        <v>2.4617220536939932E-3</v>
      </c>
      <c r="E4" t="str">
        <f t="shared" ref="E4:E6" si="6">IF(D4&gt;0.001,"дальше","стоп")</f>
        <v>дальше</v>
      </c>
      <c r="K4" s="4">
        <f t="shared" ref="K4:K24" si="7">K3+0.1</f>
        <v>1.7000000000000002</v>
      </c>
      <c r="L4" s="4">
        <f t="shared" si="0"/>
        <v>1.7000000000000002</v>
      </c>
      <c r="M4" s="17">
        <f t="shared" si="1"/>
        <v>2.4619619213392276</v>
      </c>
    </row>
    <row r="5" spans="1:13" x14ac:dyDescent="0.25">
      <c r="A5" s="4">
        <f t="shared" si="2"/>
        <v>3</v>
      </c>
      <c r="B5" s="14">
        <f t="shared" si="3"/>
        <v>2.6333745981723946</v>
      </c>
      <c r="C5" s="15">
        <f t="shared" si="4"/>
        <v>2.6337297283032437</v>
      </c>
      <c r="D5" s="16">
        <f t="shared" si="5"/>
        <v>3.5513013084909062E-4</v>
      </c>
      <c r="E5" s="4" t="str">
        <f t="shared" si="6"/>
        <v>стоп</v>
      </c>
      <c r="K5" s="4">
        <f t="shared" si="7"/>
        <v>1.8000000000000003</v>
      </c>
      <c r="L5" s="4">
        <f t="shared" si="0"/>
        <v>1.8000000000000003</v>
      </c>
      <c r="M5" s="17">
        <f t="shared" si="1"/>
        <v>2.485070085491401</v>
      </c>
    </row>
    <row r="6" spans="1:13" x14ac:dyDescent="0.25">
      <c r="A6">
        <f t="shared" si="2"/>
        <v>4</v>
      </c>
      <c r="B6" s="9">
        <f t="shared" si="3"/>
        <v>2.6337297283032437</v>
      </c>
      <c r="C6" s="10">
        <f t="shared" si="4"/>
        <v>2.6337809283278713</v>
      </c>
      <c r="D6" s="11">
        <f t="shared" si="5"/>
        <v>5.1200024627551244E-5</v>
      </c>
      <c r="E6" t="str">
        <f t="shared" si="6"/>
        <v>стоп</v>
      </c>
      <c r="K6" s="4">
        <f t="shared" si="7"/>
        <v>1.9000000000000004</v>
      </c>
      <c r="L6" s="4">
        <f t="shared" si="0"/>
        <v>1.9000000000000004</v>
      </c>
      <c r="M6" s="17">
        <f t="shared" si="1"/>
        <v>2.5067324891868279</v>
      </c>
    </row>
    <row r="7" spans="1:13" x14ac:dyDescent="0.25">
      <c r="A7">
        <f t="shared" si="2"/>
        <v>5</v>
      </c>
      <c r="B7" s="9"/>
      <c r="C7" s="10"/>
      <c r="D7" s="11"/>
      <c r="K7" s="4">
        <f t="shared" si="7"/>
        <v>2.0000000000000004</v>
      </c>
      <c r="L7" s="4">
        <f t="shared" si="0"/>
        <v>2.0000000000000004</v>
      </c>
      <c r="M7" s="17">
        <f t="shared" si="1"/>
        <v>2.5271118616159218</v>
      </c>
    </row>
    <row r="8" spans="1:13" x14ac:dyDescent="0.25">
      <c r="A8">
        <f t="shared" si="2"/>
        <v>6</v>
      </c>
      <c r="B8" s="9"/>
      <c r="C8" s="10"/>
      <c r="D8" s="11"/>
      <c r="K8" s="4">
        <f t="shared" si="7"/>
        <v>2.1000000000000005</v>
      </c>
      <c r="L8" s="4">
        <f t="shared" si="0"/>
        <v>2.1000000000000005</v>
      </c>
      <c r="M8" s="17">
        <f t="shared" si="1"/>
        <v>2.5463453594237282</v>
      </c>
    </row>
    <row r="9" spans="1:13" x14ac:dyDescent="0.25">
      <c r="A9">
        <f t="shared" si="2"/>
        <v>7</v>
      </c>
      <c r="B9" s="9"/>
      <c r="C9" s="10"/>
      <c r="D9" s="11"/>
      <c r="K9" s="4">
        <f t="shared" si="7"/>
        <v>2.2000000000000006</v>
      </c>
      <c r="L9" s="4">
        <f t="shared" si="0"/>
        <v>2.2000000000000006</v>
      </c>
      <c r="M9" s="17">
        <f t="shared" si="1"/>
        <v>2.5645496136219594</v>
      </c>
    </row>
    <row r="10" spans="1:13" x14ac:dyDescent="0.25">
      <c r="A10">
        <f t="shared" si="2"/>
        <v>8</v>
      </c>
      <c r="B10" s="9"/>
      <c r="C10" s="10"/>
      <c r="D10" s="11"/>
      <c r="K10" s="4">
        <f t="shared" si="7"/>
        <v>2.3000000000000007</v>
      </c>
      <c r="L10" s="4">
        <f t="shared" si="0"/>
        <v>2.3000000000000007</v>
      </c>
      <c r="M10" s="17">
        <f t="shared" si="1"/>
        <v>2.5818245962633108</v>
      </c>
    </row>
    <row r="11" spans="1:13" x14ac:dyDescent="0.25">
      <c r="K11" s="4">
        <f t="shared" si="7"/>
        <v>2.4000000000000008</v>
      </c>
      <c r="L11" s="4">
        <f t="shared" si="0"/>
        <v>2.4000000000000008</v>
      </c>
      <c r="M11" s="17">
        <f t="shared" si="1"/>
        <v>2.5982566221810734</v>
      </c>
    </row>
    <row r="12" spans="1:13" x14ac:dyDescent="0.25">
      <c r="K12" s="4">
        <f t="shared" si="7"/>
        <v>2.5000000000000009</v>
      </c>
      <c r="L12" s="4">
        <f t="shared" si="0"/>
        <v>2.5000000000000009</v>
      </c>
      <c r="M12" s="17">
        <f t="shared" si="1"/>
        <v>2.6139207072419604</v>
      </c>
    </row>
    <row r="13" spans="1:13" x14ac:dyDescent="0.25">
      <c r="K13" s="4">
        <f t="shared" si="7"/>
        <v>2.600000000000001</v>
      </c>
      <c r="L13" s="4">
        <f t="shared" si="0"/>
        <v>2.600000000000001</v>
      </c>
      <c r="M13" s="17">
        <f t="shared" si="1"/>
        <v>2.6288824412770673</v>
      </c>
    </row>
    <row r="14" spans="1:13" x14ac:dyDescent="0.25">
      <c r="K14" s="4">
        <f t="shared" si="7"/>
        <v>2.7000000000000011</v>
      </c>
      <c r="L14" s="4">
        <f t="shared" si="0"/>
        <v>2.7000000000000011</v>
      </c>
      <c r="M14" s="17">
        <f t="shared" si="1"/>
        <v>2.6431994903942773</v>
      </c>
    </row>
    <row r="15" spans="1:13" x14ac:dyDescent="0.25">
      <c r="K15" s="4">
        <f t="shared" si="7"/>
        <v>2.8000000000000012</v>
      </c>
      <c r="L15" s="4">
        <f t="shared" si="0"/>
        <v>2.8000000000000012</v>
      </c>
      <c r="M15" s="17">
        <f t="shared" si="1"/>
        <v>2.65692281302305</v>
      </c>
    </row>
    <row r="16" spans="1:13" x14ac:dyDescent="0.25">
      <c r="K16" s="4">
        <f t="shared" si="7"/>
        <v>2.9000000000000012</v>
      </c>
      <c r="L16" s="4">
        <f t="shared" si="0"/>
        <v>2.9000000000000012</v>
      </c>
      <c r="M16" s="17">
        <f t="shared" si="1"/>
        <v>2.6700976525185101</v>
      </c>
    </row>
    <row r="17" spans="11:13" x14ac:dyDescent="0.25">
      <c r="K17" s="4">
        <f t="shared" si="7"/>
        <v>3.0000000000000013</v>
      </c>
      <c r="L17" s="4">
        <f t="shared" si="0"/>
        <v>3.0000000000000013</v>
      </c>
      <c r="M17" s="17">
        <f t="shared" si="1"/>
        <v>2.6827643536725732</v>
      </c>
    </row>
    <row r="18" spans="11:13" x14ac:dyDescent="0.25">
      <c r="K18" s="4">
        <f t="shared" si="7"/>
        <v>3.1000000000000014</v>
      </c>
      <c r="L18" s="4">
        <f t="shared" si="0"/>
        <v>3.1000000000000014</v>
      </c>
      <c r="M18" s="17">
        <f t="shared" si="1"/>
        <v>2.6949590392030456</v>
      </c>
    </row>
    <row r="19" spans="11:13" x14ac:dyDescent="0.25">
      <c r="K19" s="4">
        <f t="shared" si="7"/>
        <v>3.2000000000000015</v>
      </c>
      <c r="L19" s="4">
        <f t="shared" si="0"/>
        <v>3.2000000000000015</v>
      </c>
      <c r="M19" s="17">
        <f t="shared" si="1"/>
        <v>2.7067141739776224</v>
      </c>
    </row>
    <row r="20" spans="11:13" x14ac:dyDescent="0.25">
      <c r="K20" s="4">
        <f t="shared" si="7"/>
        <v>3.3000000000000016</v>
      </c>
      <c r="L20" s="4">
        <f t="shared" si="0"/>
        <v>3.3000000000000016</v>
      </c>
      <c r="M20" s="17">
        <f t="shared" si="1"/>
        <v>2.7180590385318841</v>
      </c>
    </row>
    <row r="21" spans="11:13" x14ac:dyDescent="0.25">
      <c r="K21" s="4">
        <f t="shared" si="7"/>
        <v>3.4000000000000017</v>
      </c>
      <c r="L21" s="4">
        <f t="shared" si="0"/>
        <v>3.4000000000000017</v>
      </c>
      <c r="M21" s="17">
        <f t="shared" si="1"/>
        <v>2.7290201287722726</v>
      </c>
    </row>
    <row r="22" spans="11:13" x14ac:dyDescent="0.25">
      <c r="K22" s="4">
        <f t="shared" si="7"/>
        <v>3.5000000000000018</v>
      </c>
      <c r="L22" s="4">
        <f t="shared" si="0"/>
        <v>3.5000000000000018</v>
      </c>
      <c r="M22" s="17">
        <f t="shared" si="1"/>
        <v>2.7396214952052658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5A65-F9F4-4ED6-9197-9EE088B7220F}">
  <dimension ref="A1:L38"/>
  <sheetViews>
    <sheetView workbookViewId="0">
      <selection activeCell="G2" sqref="G2"/>
    </sheetView>
  </sheetViews>
  <sheetFormatPr defaultRowHeight="15" x14ac:dyDescent="0.25"/>
  <cols>
    <col min="6" max="6" width="12.5703125" customWidth="1"/>
  </cols>
  <sheetData>
    <row r="1" spans="1:12" x14ac:dyDescent="0.25">
      <c r="A1" t="s">
        <v>13</v>
      </c>
      <c r="B1" s="9" t="s">
        <v>14</v>
      </c>
      <c r="C1" s="10" t="s">
        <v>17</v>
      </c>
      <c r="D1" s="10" t="s">
        <v>18</v>
      </c>
      <c r="E1" s="10" t="s">
        <v>15</v>
      </c>
      <c r="F1" s="11" t="s">
        <v>16</v>
      </c>
      <c r="K1" t="s">
        <v>9</v>
      </c>
      <c r="L1" t="s">
        <v>19</v>
      </c>
    </row>
    <row r="2" spans="1:12" x14ac:dyDescent="0.25">
      <c r="A2">
        <v>0</v>
      </c>
      <c r="B2" s="9">
        <v>3</v>
      </c>
      <c r="C2" s="10">
        <f>2*LN(B2)-B2^2+5</f>
        <v>-1.80277542266378</v>
      </c>
      <c r="D2" s="10">
        <f>2/B2-2*B2</f>
        <v>-5.333333333333333</v>
      </c>
      <c r="E2" s="10">
        <f>B2-C2/D2</f>
        <v>2.6619796082505411</v>
      </c>
      <c r="F2" s="11">
        <f>ABS(E2-B2)</f>
        <v>0.33802039174945886</v>
      </c>
      <c r="G2" t="str">
        <f>IF(F2&gt;0.001,"дальше","стоп")</f>
        <v>дальше</v>
      </c>
      <c r="K2">
        <v>0.1</v>
      </c>
      <c r="L2">
        <f>2*LN(K2)-K2^2+5</f>
        <v>0.3848298140119093</v>
      </c>
    </row>
    <row r="3" spans="1:12" x14ac:dyDescent="0.25">
      <c r="A3">
        <f>A2+1</f>
        <v>1</v>
      </c>
      <c r="B3" s="9">
        <f>E2</f>
        <v>2.6619796082505411</v>
      </c>
      <c r="C3" s="10">
        <f>2*LN(B3)-B3^2+5</f>
        <v>-0.12799531547772958</v>
      </c>
      <c r="D3" s="10">
        <f>2/B3-2*B3</f>
        <v>-4.5726386602499378</v>
      </c>
      <c r="E3" s="10">
        <f>B3-C3/D3</f>
        <v>2.6339880425512008</v>
      </c>
      <c r="F3" s="11">
        <f>ABS(E3-B3)</f>
        <v>2.7991565699340359E-2</v>
      </c>
      <c r="G3" t="str">
        <f>IF(F3&gt;0.001,"дальше","стоп")</f>
        <v>дальше</v>
      </c>
      <c r="K3">
        <f>K2+0.1</f>
        <v>0.2</v>
      </c>
      <c r="L3">
        <f t="shared" ref="L3:L38" si="0">2*LN(K3)-K3^2+5</f>
        <v>1.7411241751317994</v>
      </c>
    </row>
    <row r="4" spans="1:12" x14ac:dyDescent="0.25">
      <c r="A4" s="4">
        <f t="shared" ref="A4:A8" si="1">A3+1</f>
        <v>2</v>
      </c>
      <c r="B4" s="14">
        <f>E3</f>
        <v>2.6339880425512008</v>
      </c>
      <c r="C4" s="15">
        <f>2*LN(B4)-B4^2+5</f>
        <v>-8.9488098925993853E-4</v>
      </c>
      <c r="D4" s="15">
        <f>2/B4-2*B4</f>
        <v>-4.5086711954481338</v>
      </c>
      <c r="E4" s="15">
        <f>B4-C4/D4</f>
        <v>2.6337895625666405</v>
      </c>
      <c r="F4" s="16">
        <f>ABS(E4-B4)</f>
        <v>1.984799845602403E-4</v>
      </c>
      <c r="G4" s="4" t="str">
        <f>IF(F4&gt;0.001,"дальше","стоп")</f>
        <v>стоп</v>
      </c>
      <c r="K4">
        <f t="shared" ref="K4:K38" si="2">K3+0.1</f>
        <v>0.30000000000000004</v>
      </c>
      <c r="L4">
        <f t="shared" si="0"/>
        <v>2.5020543913481283</v>
      </c>
    </row>
    <row r="5" spans="1:12" x14ac:dyDescent="0.25">
      <c r="A5">
        <f t="shared" si="1"/>
        <v>3</v>
      </c>
      <c r="B5" s="9">
        <f>E4</f>
        <v>2.6337895625666405</v>
      </c>
      <c r="C5" s="10">
        <f>2*LN(B5)-B5^2+5</f>
        <v>-4.5072725995964902E-8</v>
      </c>
      <c r="D5" s="10">
        <f>2/B5-2*B5</f>
        <v>-4.5082170149535328</v>
      </c>
      <c r="E5" s="10">
        <f>B5-C5/D5</f>
        <v>2.6337895525687354</v>
      </c>
      <c r="F5" s="11">
        <f>ABS(E5-B5)</f>
        <v>9.9979051704224275E-9</v>
      </c>
      <c r="G5" t="str">
        <f>IF(F5&gt;0.001,"дальше","стоп")</f>
        <v>стоп</v>
      </c>
      <c r="K5">
        <f t="shared" si="2"/>
        <v>0.4</v>
      </c>
      <c r="L5">
        <f t="shared" si="0"/>
        <v>3.0074185362516901</v>
      </c>
    </row>
    <row r="6" spans="1:12" x14ac:dyDescent="0.25">
      <c r="A6">
        <f t="shared" si="1"/>
        <v>4</v>
      </c>
      <c r="B6" s="9"/>
      <c r="C6" s="10"/>
      <c r="D6" s="10"/>
      <c r="E6" s="10"/>
      <c r="F6" s="11"/>
      <c r="K6">
        <f t="shared" si="2"/>
        <v>0.5</v>
      </c>
      <c r="L6">
        <f t="shared" si="0"/>
        <v>3.3637056388801092</v>
      </c>
    </row>
    <row r="7" spans="1:12" x14ac:dyDescent="0.25">
      <c r="A7">
        <f t="shared" si="1"/>
        <v>5</v>
      </c>
      <c r="B7" s="9"/>
      <c r="C7" s="10"/>
      <c r="D7" s="10"/>
      <c r="E7" s="10"/>
      <c r="F7" s="11"/>
      <c r="K7">
        <f t="shared" si="2"/>
        <v>0.6</v>
      </c>
      <c r="L7">
        <f t="shared" si="0"/>
        <v>3.6183487524680187</v>
      </c>
    </row>
    <row r="8" spans="1:12" x14ac:dyDescent="0.25">
      <c r="A8">
        <f t="shared" si="1"/>
        <v>6</v>
      </c>
      <c r="B8" s="9"/>
      <c r="C8" s="10"/>
      <c r="D8" s="10"/>
      <c r="E8" s="10"/>
      <c r="F8" s="11"/>
      <c r="K8">
        <f t="shared" si="2"/>
        <v>0.7</v>
      </c>
      <c r="L8">
        <f t="shared" si="0"/>
        <v>3.7966501121225349</v>
      </c>
    </row>
    <row r="9" spans="1:12" x14ac:dyDescent="0.25">
      <c r="K9">
        <f t="shared" si="2"/>
        <v>0.79999999999999993</v>
      </c>
      <c r="L9">
        <f t="shared" si="0"/>
        <v>3.9137128973715805</v>
      </c>
    </row>
    <row r="10" spans="1:12" x14ac:dyDescent="0.25">
      <c r="K10">
        <f t="shared" si="2"/>
        <v>0.89999999999999991</v>
      </c>
      <c r="L10">
        <f t="shared" si="0"/>
        <v>3.9792789686843473</v>
      </c>
    </row>
    <row r="11" spans="1:12" x14ac:dyDescent="0.25">
      <c r="K11">
        <f t="shared" si="2"/>
        <v>0.99999999999999989</v>
      </c>
      <c r="L11">
        <f t="shared" si="0"/>
        <v>4</v>
      </c>
    </row>
    <row r="12" spans="1:12" x14ac:dyDescent="0.25">
      <c r="K12">
        <f t="shared" si="2"/>
        <v>1.0999999999999999</v>
      </c>
      <c r="L12">
        <f t="shared" si="0"/>
        <v>3.9806203596086496</v>
      </c>
    </row>
    <row r="13" spans="1:12" x14ac:dyDescent="0.25">
      <c r="K13">
        <f t="shared" si="2"/>
        <v>1.2</v>
      </c>
      <c r="L13">
        <f t="shared" si="0"/>
        <v>3.9246431135879094</v>
      </c>
    </row>
    <row r="14" spans="1:12" x14ac:dyDescent="0.25">
      <c r="K14">
        <f t="shared" si="2"/>
        <v>1.3</v>
      </c>
      <c r="L14">
        <f t="shared" si="0"/>
        <v>3.8347285289349822</v>
      </c>
    </row>
    <row r="15" spans="1:12" x14ac:dyDescent="0.25">
      <c r="K15">
        <f t="shared" si="2"/>
        <v>1.4000000000000001</v>
      </c>
      <c r="L15">
        <f t="shared" si="0"/>
        <v>3.7129444732424255</v>
      </c>
    </row>
    <row r="16" spans="1:12" x14ac:dyDescent="0.25">
      <c r="K16">
        <f t="shared" si="2"/>
        <v>1.5000000000000002</v>
      </c>
      <c r="L16">
        <f t="shared" si="0"/>
        <v>3.5609302162163283</v>
      </c>
    </row>
    <row r="17" spans="11:12" x14ac:dyDescent="0.25">
      <c r="K17">
        <f t="shared" si="2"/>
        <v>1.6000000000000003</v>
      </c>
      <c r="L17">
        <f t="shared" si="0"/>
        <v>3.3800072584914704</v>
      </c>
    </row>
    <row r="18" spans="11:12" x14ac:dyDescent="0.25">
      <c r="K18">
        <f t="shared" si="2"/>
        <v>1.7000000000000004</v>
      </c>
      <c r="L18">
        <f t="shared" si="0"/>
        <v>3.17125650212434</v>
      </c>
    </row>
    <row r="19" spans="11:12" x14ac:dyDescent="0.25">
      <c r="K19">
        <f t="shared" si="2"/>
        <v>1.8000000000000005</v>
      </c>
      <c r="L19">
        <f t="shared" si="0"/>
        <v>2.935573329804237</v>
      </c>
    </row>
    <row r="20" spans="11:12" x14ac:dyDescent="0.25">
      <c r="K20">
        <f t="shared" si="2"/>
        <v>1.9000000000000006</v>
      </c>
      <c r="L20">
        <f t="shared" si="0"/>
        <v>2.673707772344788</v>
      </c>
    </row>
    <row r="21" spans="11:12" x14ac:dyDescent="0.25">
      <c r="K21">
        <f t="shared" si="2"/>
        <v>2.0000000000000004</v>
      </c>
      <c r="L21">
        <f t="shared" si="0"/>
        <v>2.386294361119889</v>
      </c>
    </row>
    <row r="22" spans="11:12" x14ac:dyDescent="0.25">
      <c r="K22">
        <f t="shared" si="2"/>
        <v>2.1000000000000005</v>
      </c>
      <c r="L22">
        <f t="shared" si="0"/>
        <v>2.0738746894587532</v>
      </c>
    </row>
    <row r="23" spans="11:12" x14ac:dyDescent="0.25">
      <c r="K23">
        <f t="shared" si="2"/>
        <v>2.2000000000000006</v>
      </c>
      <c r="L23">
        <f t="shared" si="0"/>
        <v>1.7369147207285387</v>
      </c>
    </row>
    <row r="24" spans="11:12" x14ac:dyDescent="0.25">
      <c r="K24">
        <f t="shared" si="2"/>
        <v>2.3000000000000007</v>
      </c>
      <c r="L24">
        <f t="shared" si="0"/>
        <v>1.3758182458702048</v>
      </c>
    </row>
    <row r="25" spans="11:12" x14ac:dyDescent="0.25">
      <c r="K25">
        <f t="shared" si="2"/>
        <v>2.4000000000000008</v>
      </c>
      <c r="L25">
        <f t="shared" si="0"/>
        <v>0.99093747470779636</v>
      </c>
    </row>
    <row r="26" spans="11:12" x14ac:dyDescent="0.25">
      <c r="K26">
        <f t="shared" si="2"/>
        <v>2.5000000000000009</v>
      </c>
      <c r="L26">
        <f t="shared" si="0"/>
        <v>0.58258146374830666</v>
      </c>
    </row>
    <row r="27" spans="11:12" x14ac:dyDescent="0.25">
      <c r="K27">
        <f t="shared" si="2"/>
        <v>2.600000000000001</v>
      </c>
      <c r="L27">
        <f t="shared" si="0"/>
        <v>0.15102289005486824</v>
      </c>
    </row>
    <row r="28" spans="11:12" x14ac:dyDescent="0.25">
      <c r="K28">
        <f t="shared" si="2"/>
        <v>2.7000000000000011</v>
      </c>
      <c r="L28">
        <f t="shared" si="0"/>
        <v>-0.30349645397943803</v>
      </c>
    </row>
    <row r="29" spans="11:12" x14ac:dyDescent="0.25">
      <c r="K29">
        <f t="shared" si="2"/>
        <v>2.8000000000000012</v>
      </c>
      <c r="L29">
        <f t="shared" si="0"/>
        <v>-0.78076116563768849</v>
      </c>
    </row>
    <row r="30" spans="11:12" x14ac:dyDescent="0.25">
      <c r="K30">
        <f t="shared" si="2"/>
        <v>2.9000000000000012</v>
      </c>
      <c r="L30">
        <f t="shared" si="0"/>
        <v>-1.2805785260151499</v>
      </c>
    </row>
    <row r="31" spans="11:12" x14ac:dyDescent="0.25">
      <c r="K31">
        <f t="shared" si="2"/>
        <v>3.0000000000000013</v>
      </c>
      <c r="L31">
        <f t="shared" si="0"/>
        <v>-1.8027754226637871</v>
      </c>
    </row>
    <row r="32" spans="11:12" x14ac:dyDescent="0.25">
      <c r="K32">
        <f t="shared" si="2"/>
        <v>3.1000000000000014</v>
      </c>
      <c r="L32">
        <f t="shared" si="0"/>
        <v>-2.3471957770178058</v>
      </c>
    </row>
    <row r="33" spans="11:12" x14ac:dyDescent="0.25">
      <c r="K33">
        <f t="shared" si="2"/>
        <v>3.2000000000000015</v>
      </c>
      <c r="L33">
        <f t="shared" si="0"/>
        <v>-2.9136983803886469</v>
      </c>
    </row>
    <row r="34" spans="11:12" x14ac:dyDescent="0.25">
      <c r="K34">
        <f t="shared" si="2"/>
        <v>3.3000000000000016</v>
      </c>
      <c r="L34">
        <f t="shared" si="0"/>
        <v>-3.5021550630551417</v>
      </c>
    </row>
    <row r="35" spans="11:12" x14ac:dyDescent="0.25">
      <c r="K35">
        <f t="shared" si="2"/>
        <v>3.4000000000000017</v>
      </c>
      <c r="L35">
        <f t="shared" si="0"/>
        <v>-4.1124491367557781</v>
      </c>
    </row>
    <row r="36" spans="11:12" x14ac:dyDescent="0.25">
      <c r="K36">
        <f t="shared" si="2"/>
        <v>3.5000000000000018</v>
      </c>
      <c r="L36">
        <f t="shared" si="0"/>
        <v>-4.7444740630092745</v>
      </c>
    </row>
    <row r="37" spans="11:12" x14ac:dyDescent="0.25">
      <c r="K37">
        <f t="shared" si="2"/>
        <v>3.6000000000000019</v>
      </c>
      <c r="L37">
        <f t="shared" si="0"/>
        <v>-5.3981323090758835</v>
      </c>
    </row>
    <row r="38" spans="11:12" x14ac:dyDescent="0.25">
      <c r="K38">
        <f t="shared" si="2"/>
        <v>3.700000000000002</v>
      </c>
      <c r="L38">
        <f t="shared" si="0"/>
        <v>-6.0733343606996542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E459-EC7F-4A9B-BB1A-FE65CE4CAB73}">
  <dimension ref="A1:G10"/>
  <sheetViews>
    <sheetView tabSelected="1" workbookViewId="0">
      <selection activeCell="I25" sqref="I25"/>
    </sheetView>
  </sheetViews>
  <sheetFormatPr defaultRowHeight="15" x14ac:dyDescent="0.25"/>
  <cols>
    <col min="6" max="6" width="14.85546875" customWidth="1"/>
  </cols>
  <sheetData>
    <row r="1" spans="1:7" x14ac:dyDescent="0.25">
      <c r="A1" t="s">
        <v>13</v>
      </c>
      <c r="B1" s="9" t="s">
        <v>14</v>
      </c>
      <c r="C1" s="10" t="s">
        <v>17</v>
      </c>
      <c r="D1" s="10" t="s">
        <v>22</v>
      </c>
      <c r="E1" s="10" t="s">
        <v>15</v>
      </c>
      <c r="F1" s="11" t="s">
        <v>16</v>
      </c>
    </row>
    <row r="2" spans="1:7" x14ac:dyDescent="0.25">
      <c r="A2">
        <v>1</v>
      </c>
      <c r="B2" s="9">
        <v>3</v>
      </c>
      <c r="C2" s="10">
        <f>2*LN(B2)-B2^2+5</f>
        <v>-1.80277542266378</v>
      </c>
      <c r="D2" s="10">
        <f>2/3-2*3</f>
        <v>-5.333333333333333</v>
      </c>
      <c r="E2" s="10">
        <f>B2-C2/$D$2</f>
        <v>2.6619796082505411</v>
      </c>
      <c r="F2" s="11">
        <f>ABS(E2-B2)</f>
        <v>0.33802039174945886</v>
      </c>
      <c r="G2" t="str">
        <f>IF(F2&gt;0.001,"дальше","стоп")</f>
        <v>дальше</v>
      </c>
    </row>
    <row r="3" spans="1:7" x14ac:dyDescent="0.25">
      <c r="A3">
        <v>2</v>
      </c>
      <c r="B3" s="9">
        <f>E2</f>
        <v>2.6619796082505411</v>
      </c>
      <c r="C3" s="10">
        <f>2*LN(B3)-B3^2+5</f>
        <v>-0.12799531547772958</v>
      </c>
      <c r="D3" s="10">
        <f>2/3-2*3</f>
        <v>-5.333333333333333</v>
      </c>
      <c r="E3" s="10">
        <f>B3-C3/$D$2</f>
        <v>2.6379804865984671</v>
      </c>
      <c r="F3" s="11">
        <f>ABS(E3-B3)</f>
        <v>2.3999121652074074E-2</v>
      </c>
      <c r="G3" t="str">
        <f>IF(F3&gt;0.001,"дальше","стоп")</f>
        <v>дальше</v>
      </c>
    </row>
    <row r="4" spans="1:7" x14ac:dyDescent="0.25">
      <c r="A4">
        <v>3</v>
      </c>
      <c r="B4" s="9">
        <f t="shared" ref="B4:B7" si="0">E3</f>
        <v>2.6379804865984671</v>
      </c>
      <c r="C4" s="10">
        <f t="shared" ref="C4:C7" si="1">2*LN(B4)-B4^2+5</f>
        <v>-1.8913733226347595E-2</v>
      </c>
      <c r="D4" s="10">
        <f t="shared" ref="D4:D7" si="2">2/3-2*3</f>
        <v>-5.333333333333333</v>
      </c>
      <c r="E4" s="10">
        <f t="shared" ref="E4:E7" si="3">B4-C4/$D$2</f>
        <v>2.6344341616185267</v>
      </c>
      <c r="F4" s="11">
        <f t="shared" ref="F4:F7" si="4">ABS(E4-B4)</f>
        <v>3.5463249799403407E-3</v>
      </c>
      <c r="G4" t="str">
        <f t="shared" ref="G4:G7" si="5">IF(F4&gt;0.001,"дальше","стоп")</f>
        <v>дальше</v>
      </c>
    </row>
    <row r="5" spans="1:7" x14ac:dyDescent="0.25">
      <c r="A5" s="4">
        <v>4</v>
      </c>
      <c r="B5" s="14">
        <f t="shared" si="0"/>
        <v>2.6344341616185267</v>
      </c>
      <c r="C5" s="15">
        <f t="shared" si="1"/>
        <v>-2.9065128830989551E-3</v>
      </c>
      <c r="D5" s="15">
        <f t="shared" si="2"/>
        <v>-5.333333333333333</v>
      </c>
      <c r="E5" s="15">
        <f t="shared" si="3"/>
        <v>2.6338891904529458</v>
      </c>
      <c r="F5" s="16">
        <f t="shared" si="4"/>
        <v>5.4497116558094305E-4</v>
      </c>
      <c r="G5" s="4" t="str">
        <f t="shared" si="5"/>
        <v>стоп</v>
      </c>
    </row>
    <row r="6" spans="1:7" x14ac:dyDescent="0.25">
      <c r="A6">
        <v>5</v>
      </c>
      <c r="B6" s="9">
        <f t="shared" si="0"/>
        <v>2.6338891904529458</v>
      </c>
      <c r="C6" s="10">
        <f t="shared" si="1"/>
        <v>-4.4920056148001208E-4</v>
      </c>
      <c r="D6" s="10">
        <f t="shared" si="2"/>
        <v>-5.333333333333333</v>
      </c>
      <c r="E6" s="10">
        <f t="shared" si="3"/>
        <v>2.6338049653476681</v>
      </c>
      <c r="F6" s="11">
        <f t="shared" si="4"/>
        <v>8.422510527772431E-5</v>
      </c>
      <c r="G6" t="str">
        <f t="shared" si="5"/>
        <v>стоп</v>
      </c>
    </row>
    <row r="7" spans="1:7" x14ac:dyDescent="0.25">
      <c r="A7">
        <v>6</v>
      </c>
      <c r="B7" s="9"/>
      <c r="C7" s="10"/>
      <c r="D7" s="10"/>
      <c r="E7" s="10"/>
      <c r="F7" s="11"/>
    </row>
    <row r="8" spans="1:7" x14ac:dyDescent="0.25">
      <c r="A8">
        <v>7</v>
      </c>
      <c r="B8" s="9"/>
      <c r="C8" s="10"/>
      <c r="D8" s="10"/>
      <c r="E8" s="10"/>
      <c r="F8" s="11"/>
    </row>
    <row r="9" spans="1:7" x14ac:dyDescent="0.25">
      <c r="A9">
        <v>8</v>
      </c>
      <c r="B9" s="9"/>
      <c r="C9" s="10"/>
      <c r="D9" s="10"/>
      <c r="E9" s="10"/>
      <c r="F9" s="11"/>
    </row>
    <row r="10" spans="1:7" x14ac:dyDescent="0.25">
      <c r="A10">
        <v>9</v>
      </c>
      <c r="B10" s="9"/>
      <c r="C10" s="10"/>
      <c r="D10" s="10"/>
      <c r="E10" s="10"/>
      <c r="F1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МПД</vt:lpstr>
      <vt:lpstr>Хорд</vt:lpstr>
      <vt:lpstr>МПИ</vt:lpstr>
      <vt:lpstr>Ньютона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For</cp:lastModifiedBy>
  <dcterms:created xsi:type="dcterms:W3CDTF">2015-06-05T18:19:34Z</dcterms:created>
  <dcterms:modified xsi:type="dcterms:W3CDTF">2026-06-30T06:37:57Z</dcterms:modified>
</cp:coreProperties>
</file>